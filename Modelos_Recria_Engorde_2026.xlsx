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:\Unidades compartidas\SF-07 Mercados Operativo\Margenes y analisis\"/>
    </mc:Choice>
  </mc:AlternateContent>
  <xr:revisionPtr revIDLastSave="0" documentId="13_ncr:1_{B3238ED3-6E18-4034-8150-93EA4C2EC3E7}" xr6:coauthVersionLast="47" xr6:coauthVersionMax="47" xr10:uidLastSave="{00000000-0000-0000-0000-000000000000}"/>
  <bookViews>
    <workbookView xWindow="28680" yWindow="-120" windowWidth="19440" windowHeight="10320" tabRatio="500" activeTab="1" xr2:uid="{00000000-000D-0000-FFFF-FFFF00000000}"/>
  </bookViews>
  <sheets>
    <sheet name="Parametros a actualizar" sheetId="1" r:id="rId1"/>
    <sheet name="Modelo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1" i="2" l="1"/>
  <c r="I70" i="2"/>
  <c r="H71" i="2"/>
  <c r="C20" i="1"/>
  <c r="C21" i="1" s="1"/>
  <c r="E9" i="2" s="1"/>
  <c r="K88" i="2"/>
  <c r="J88" i="2"/>
  <c r="I88" i="2"/>
  <c r="H88" i="2"/>
  <c r="G88" i="2"/>
  <c r="K86" i="2"/>
  <c r="J86" i="2"/>
  <c r="I86" i="2"/>
  <c r="H86" i="2"/>
  <c r="G86" i="2"/>
  <c r="K44" i="2"/>
  <c r="J44" i="2"/>
  <c r="I44" i="2"/>
  <c r="H44" i="2"/>
  <c r="G44" i="2"/>
  <c r="K37" i="2"/>
  <c r="J37" i="2"/>
  <c r="I37" i="2"/>
  <c r="K36" i="2"/>
  <c r="J36" i="2"/>
  <c r="I36" i="2"/>
  <c r="H36" i="2"/>
  <c r="G36" i="2"/>
  <c r="K35" i="2"/>
  <c r="J35" i="2"/>
  <c r="I35" i="2"/>
  <c r="H35" i="2"/>
  <c r="G35" i="2"/>
  <c r="K31" i="2"/>
  <c r="K48" i="2" s="1"/>
  <c r="J31" i="2"/>
  <c r="J48" i="2" s="1"/>
  <c r="I31" i="2"/>
  <c r="I48" i="2" s="1"/>
  <c r="H31" i="2"/>
  <c r="H48" i="2" s="1"/>
  <c r="K26" i="2"/>
  <c r="K30" i="2" s="1"/>
  <c r="K87" i="2" s="1"/>
  <c r="J26" i="2"/>
  <c r="J30" i="2" s="1"/>
  <c r="J87" i="2" s="1"/>
  <c r="I26" i="2"/>
  <c r="I30" i="2" s="1"/>
  <c r="I87" i="2" s="1"/>
  <c r="H26" i="2"/>
  <c r="H37" i="2" s="1"/>
  <c r="G26" i="2"/>
  <c r="G37" i="2" s="1"/>
  <c r="K25" i="2"/>
  <c r="J25" i="2"/>
  <c r="I25" i="2"/>
  <c r="H25" i="2"/>
  <c r="G25" i="2"/>
  <c r="G31" i="2" s="1"/>
  <c r="G48" i="2" s="1"/>
  <c r="E16" i="2"/>
  <c r="E15" i="2"/>
  <c r="E10" i="2"/>
  <c r="C35" i="1"/>
  <c r="C9" i="1"/>
  <c r="K79" i="2" l="1"/>
  <c r="J49" i="2"/>
  <c r="J51" i="2" s="1"/>
  <c r="E20" i="2"/>
  <c r="I49" i="2"/>
  <c r="H49" i="2"/>
  <c r="G49" i="2"/>
  <c r="K49" i="2"/>
  <c r="H43" i="2"/>
  <c r="H45" i="2" s="1"/>
  <c r="I51" i="2"/>
  <c r="G51" i="2"/>
  <c r="G79" i="2"/>
  <c r="G63" i="2"/>
  <c r="G38" i="2"/>
  <c r="G43" i="2" s="1"/>
  <c r="G45" i="2" s="1"/>
  <c r="G56" i="2" s="1"/>
  <c r="I79" i="2"/>
  <c r="H51" i="2"/>
  <c r="K51" i="2"/>
  <c r="H79" i="2"/>
  <c r="H38" i="2"/>
  <c r="H63" i="2"/>
  <c r="J79" i="2"/>
  <c r="I38" i="2"/>
  <c r="I43" i="2" s="1"/>
  <c r="I45" i="2" s="1"/>
  <c r="J38" i="2"/>
  <c r="J43" i="2" s="1"/>
  <c r="J45" i="2" s="1"/>
  <c r="K38" i="2"/>
  <c r="K43" i="2" s="1"/>
  <c r="K45" i="2" s="1"/>
  <c r="I63" i="2"/>
  <c r="J63" i="2"/>
  <c r="K63" i="2"/>
  <c r="G30" i="2"/>
  <c r="G87" i="2" s="1"/>
  <c r="H30" i="2"/>
  <c r="H87" i="2" s="1"/>
  <c r="K56" i="2" l="1"/>
  <c r="G60" i="2"/>
  <c r="G90" i="2" s="1"/>
  <c r="G89" i="2"/>
  <c r="H56" i="2"/>
  <c r="J56" i="2"/>
  <c r="I56" i="2"/>
  <c r="K57" i="2"/>
  <c r="K64" i="2" s="1"/>
  <c r="K75" i="2" s="1"/>
  <c r="K94" i="2" s="1"/>
  <c r="J57" i="2"/>
  <c r="J64" i="2" s="1"/>
  <c r="J75" i="2" s="1"/>
  <c r="J94" i="2" s="1"/>
  <c r="I57" i="2"/>
  <c r="I64" i="2" s="1"/>
  <c r="I75" i="2" s="1"/>
  <c r="I94" i="2" s="1"/>
  <c r="H57" i="2"/>
  <c r="H64" i="2" s="1"/>
  <c r="G57" i="2"/>
  <c r="G64" i="2" s="1"/>
  <c r="G80" i="2" s="1"/>
  <c r="K68" i="2"/>
  <c r="K69" i="2" s="1"/>
  <c r="K70" i="2" s="1"/>
  <c r="J68" i="2"/>
  <c r="J69" i="2" s="1"/>
  <c r="J70" i="2" s="1"/>
  <c r="I68" i="2"/>
  <c r="I69" i="2" s="1"/>
  <c r="G68" i="2"/>
  <c r="G69" i="2" s="1"/>
  <c r="G70" i="2" s="1"/>
  <c r="G81" i="2" s="1"/>
  <c r="H68" i="2"/>
  <c r="H69" i="2" s="1"/>
  <c r="H70" i="2" s="1"/>
  <c r="H81" i="2" l="1"/>
  <c r="H80" i="2"/>
  <c r="H75" i="2"/>
  <c r="H94" i="2" s="1"/>
  <c r="I81" i="2"/>
  <c r="J76" i="2"/>
  <c r="H76" i="2"/>
  <c r="I76" i="2"/>
  <c r="K81" i="2"/>
  <c r="J80" i="2"/>
  <c r="J89" i="2"/>
  <c r="J60" i="2"/>
  <c r="J90" i="2" s="1"/>
  <c r="J65" i="2"/>
  <c r="J81" i="2"/>
  <c r="K89" i="2"/>
  <c r="K65" i="2"/>
  <c r="K60" i="2"/>
  <c r="K90" i="2" s="1"/>
  <c r="G76" i="2"/>
  <c r="H60" i="2"/>
  <c r="H90" i="2" s="1"/>
  <c r="H89" i="2"/>
  <c r="H65" i="2"/>
  <c r="G65" i="2"/>
  <c r="I80" i="2"/>
  <c r="G75" i="2"/>
  <c r="G94" i="2" s="1"/>
  <c r="K80" i="2"/>
  <c r="I89" i="2"/>
  <c r="I60" i="2"/>
  <c r="I90" i="2" s="1"/>
  <c r="I65" i="2"/>
  <c r="K76" i="2"/>
  <c r="H91" i="2" l="1"/>
  <c r="G91" i="2"/>
  <c r="G71" i="2"/>
  <c r="K71" i="2"/>
  <c r="K91" i="2"/>
  <c r="J71" i="2"/>
  <c r="J91" i="2"/>
  <c r="I91" i="2"/>
  <c r="I72" i="2" l="1"/>
  <c r="I93" i="2" s="1"/>
  <c r="I92" i="2"/>
  <c r="J72" i="2"/>
  <c r="J93" i="2" s="1"/>
  <c r="J92" i="2"/>
  <c r="K72" i="2"/>
  <c r="K93" i="2" s="1"/>
  <c r="K92" i="2"/>
  <c r="G72" i="2"/>
  <c r="G93" i="2" s="1"/>
  <c r="G92" i="2"/>
  <c r="H72" i="2"/>
  <c r="H93" i="2" s="1"/>
  <c r="H92" i="2"/>
</calcChain>
</file>

<file path=xl/sharedStrings.xml><?xml version="1.0" encoding="utf-8"?>
<sst xmlns="http://schemas.openxmlformats.org/spreadsheetml/2006/main" count="187" uniqueCount="149">
  <si>
    <t>PARÁMETROS DE LA SEMANA — actualizar acá, no en las hojas de modelos</t>
  </si>
  <si>
    <t>Fecha de actualización</t>
  </si>
  <si>
    <t>Sólo modificar los campos con texto azul</t>
  </si>
  <si>
    <t>1. Macro y financiero</t>
  </si>
  <si>
    <t>Inflación esperada mensual</t>
  </si>
  <si>
    <t>Fermín: promedio 1,7-1,8%. REM jul-26 (public. 6/8): mediana 2,0% mensual puntual. Próx. REM: 4/9. https://www.bcra.gob.ar/relevamiento-expectativas-mercado-rem/</t>
  </si>
  <si>
    <t xml:space="preserve"> https://www.bcra.gob.ar/relevamiento-expectativas-mercado-rem/</t>
  </si>
  <si>
    <t>Tasa de plazo fijo (TNA)</t>
  </si>
  <si>
    <t>Actualizar según tasa vigente al momento de correr el modelo.</t>
  </si>
  <si>
    <t>https://www.bcra.gob.ar/plazos-fijos-online/</t>
  </si>
  <si>
    <t>Tasa efectiva mensual PF (referencia)</t>
  </si>
  <si>
    <t>Se calcula sola a partir de la TNA de arriba.</t>
  </si>
  <si>
    <t>Tasa anual costo financiero (si hay que pedir plata)</t>
  </si>
  <si>
    <t>Mismo dato que el archivo viejo (00 Sistemas de Engorde).</t>
  </si>
  <si>
    <t>2. Dólar</t>
  </si>
  <si>
    <t>Dólar hoy (inicio)</t>
  </si>
  <si>
    <t>Actualizar con cotización vigente.</t>
  </si>
  <si>
    <t>Dólar proyectado dic-26 (REM, referencia)</t>
  </si>
  <si>
    <t>REM jul-26, mediana para dic-26 ($1.652/USD).</t>
  </si>
  <si>
    <t>3. Precios de hacienda — históricos y de mercado hoy</t>
  </si>
  <si>
    <t>Ternero 180 kg — precio pagado en abril (histórico)</t>
  </si>
  <si>
    <t>Precio real pagado en abril-2026. Fuente: Entre Surcos y Corrales (invernada). NO es el precio de hoy — es el dato histórico de la compra.</t>
  </si>
  <si>
    <t>Meses transcurridos desde la compra (abril → hoy)</t>
  </si>
  <si>
    <t>Se calcula solo, a partir de la fecha de actualización de arriba y la fecha de compra (abril).</t>
  </si>
  <si>
    <t>Ternero 180 kg — actualizado a pesos de hoy</t>
  </si>
  <si>
    <t>Precio de abril llevado a pesos de hoy con la inflación esperada mensual. Este es el valor que debe usar el modelo como costo de compra en términos reales — no el precio histórico sin actualizar.</t>
  </si>
  <si>
    <t>Novillito/recriado ~270 kg — precio de mercado HOY</t>
  </si>
  <si>
    <t>Entre Surcos y Corrales (invernada) — precio vigente de la semana. Ya está en pesos de hoy, no requiere actualización.</t>
  </si>
  <si>
    <t>Novillo gordo 415-440 kg — precio de mercado HOY</t>
  </si>
  <si>
    <t>Mercado Agroganadero de Cañuelas (consumo/gordo) — precio vigente de la semana.</t>
  </si>
  <si>
    <t>Novillo gordo exportación ~500 kg — precio de mercado HOY</t>
  </si>
  <si>
    <t>Mercado Agroganadero de Cañuelas, categoría exportación — precio vigente de la semana.</t>
  </si>
  <si>
    <t>4. Gastos comerciales (%)</t>
  </si>
  <si>
    <t>% Gastos comerciales — compra</t>
  </si>
  <si>
    <t>% Gastos comerciales — venta</t>
  </si>
  <si>
    <t>5. Capitalización — sobre kg ganados</t>
  </si>
  <si>
    <t>% para el dueño del animal</t>
  </si>
  <si>
    <t>% para el engordador (capitalizador)</t>
  </si>
  <si>
    <t>MODELOS RECRÍA + ENGORDE 2026 — Ternero 180 kg (abril) → 5 caminos desde octubre</t>
  </si>
  <si>
    <t>CAMINOS (desde 270 kg, oct-2026)</t>
  </si>
  <si>
    <t>Venta oct. + plazo fijo</t>
  </si>
  <si>
    <t xml:space="preserve"> Capitalización (mar)</t>
  </si>
  <si>
    <t>Corral liviano (feb-jun)</t>
  </si>
  <si>
    <t>Engorde a pastura (mar)</t>
  </si>
  <si>
    <t>Recría+corral propio (may)</t>
  </si>
  <si>
    <t>Vende en octubre a 270 kg; compara contra poner esa plata a plazo fijo.</t>
  </si>
  <si>
    <t>Envía a capitalizar: sale gordo en marzo 430-440 kg. Reparto 45% dueño / 55% engordador sobre kilos ganados.</t>
  </si>
  <si>
    <t>Entra a corral de inicio liviano a ppios de febrero: 270→415 kg, 120 días, 1,2 kg/d.</t>
  </si>
  <si>
    <t>Engorde a pastura propio: sale en marzo con 430-440 kg.</t>
  </si>
  <si>
    <t>Recría en pastura hasta febrero (400 kg) + 90 días de corral propio a 1,1 kg/d, sale en mayo con 500 kg.</t>
  </si>
  <si>
    <t>Categoría inicial</t>
  </si>
  <si>
    <t>Ternero 180 kg</t>
  </si>
  <si>
    <t>Fecha de compra</t>
  </si>
  <si>
    <t>Peso inicial (compra)</t>
  </si>
  <si>
    <t>kg</t>
  </si>
  <si>
    <t>Precio de compra (actualizado a pesos de hoy)</t>
  </si>
  <si>
    <t>$/kg</t>
  </si>
  <si>
    <t>% Gastos comerciales - compra</t>
  </si>
  <si>
    <t>ADPV etapa (verdeo invierno)</t>
  </si>
  <si>
    <t>kg/d</t>
  </si>
  <si>
    <t>Peso a la salida (1/oct)</t>
  </si>
  <si>
    <t>Fecha de salida (llegada a 270 kg)</t>
  </si>
  <si>
    <t>Duración etapa</t>
  </si>
  <si>
    <t>días</t>
  </si>
  <si>
    <t>Kg producidos etapa</t>
  </si>
  <si>
    <t>kg/cab</t>
  </si>
  <si>
    <t>Nota</t>
  </si>
  <si>
    <t>Ritmo de recría según lo cargado por Fermín en sus notas (verdeo de invierno). Ver también variante 0,5 kg/d si se quiere comparar.</t>
  </si>
  <si>
    <t>Costo de compra neto (con gastos comerciales)</t>
  </si>
  <si>
    <t>$/cab</t>
  </si>
  <si>
    <t>Valor del animal a la salida de la etapa común</t>
  </si>
  <si>
    <t>kg a 270 kg</t>
  </si>
  <si>
    <t>(referencia — cada camino valúa este punto de partida con su propio precio de ingreso)</t>
  </si>
  <si>
    <t>1. FICHA TÉCNICA</t>
  </si>
  <si>
    <t>Peso entrada (= salida etapa común)</t>
  </si>
  <si>
    <t>Fecha entrada (= salida etapa común)</t>
  </si>
  <si>
    <t>Peso de salida (venta)</t>
  </si>
  <si>
    <t>ADPV del camino</t>
  </si>
  <si>
    <t>Fecha de salida (venta)</t>
  </si>
  <si>
    <t>Duración del camino (desde oct)</t>
  </si>
  <si>
    <t>Kg producidos en el camino</t>
  </si>
  <si>
    <t>% Mortandad del camino</t>
  </si>
  <si>
    <t>%</t>
  </si>
  <si>
    <t>2. PRECIOS (deflactados a pesos de hoy — inflación esperada + dólar)</t>
  </si>
  <si>
    <t>Precio de ingreso (270 kg, oct) — pesos de hoy</t>
  </si>
  <si>
    <t>Precio de venta esperado (nominal, a la fecha de salida)</t>
  </si>
  <si>
    <t>Meses entre entrada y venta (para deflactar)</t>
  </si>
  <si>
    <t>meses</t>
  </si>
  <si>
    <t>Precio de venta deflactado a pesos de hoy</t>
  </si>
  <si>
    <t>Camino 1 no necesita deflactar (venta el mismo día de la etapa común). Los demás traen el precio de venta futuro a pesos de hoy con la inflación esperada de Parámetros (1,7-1,8% mensual, definido por Fermín).</t>
  </si>
  <si>
    <t>3. INGRESOS Y GASTOS (pesos de hoy)</t>
  </si>
  <si>
    <t>Ingreso bruto por venta  [Camino 2: (kg entrada + 45% kg ganados) x precio venta]</t>
  </si>
  <si>
    <t>% Gastos comerciales - venta</t>
  </si>
  <si>
    <t>Ingreso neto de venta</t>
  </si>
  <si>
    <t>4. COSTOS DEL CAMINO (desde oct, además del costo de compra ya incorporado en la etapa común)</t>
  </si>
  <si>
    <t>Costo de alimentación / recría / corral</t>
  </si>
  <si>
    <t>Sanidad</t>
  </si>
  <si>
    <t>Gastos de estructura / personal (prorrateado)</t>
  </si>
  <si>
    <t>Gastos directos totales</t>
  </si>
  <si>
    <t>Costo de alimentación = kg producidos del camino × costo/kg ganado (ver sección 12, al final de la hoja). Sanidad y gastos de estructura siguen como valores de referencia a completar.</t>
  </si>
  <si>
    <t>5. MARGEN EN PESOS DE HOY</t>
  </si>
  <si>
    <t>Margen bruto por cabeza</t>
  </si>
  <si>
    <t>Capital inmovilizado (costo compra + 50% gastos directos)</t>
  </si>
  <si>
    <t>6. MARGEN EN USD (lectura complementaria — no reemplaza la de pesos)</t>
  </si>
  <si>
    <t>Margen bruto por cabeza en USD</t>
  </si>
  <si>
    <t>USD/cab</t>
  </si>
  <si>
    <t>7. COSTO FINANCIERO — si hay que salir a pedir plata</t>
  </si>
  <si>
    <t>Meses de capital inmovilizado (desde oct)</t>
  </si>
  <si>
    <t>Costo financiero (tasa anual s/ capital inmovilizado)</t>
  </si>
  <si>
    <t>Margen después de costo financiero</t>
  </si>
  <si>
    <t>8. CONTRASTE VS. RENTA DE MERCADO — plazo fijo en pesos</t>
  </si>
  <si>
    <t>Capital que se inmoviliza (= costo de compra neto, etapa común)</t>
  </si>
  <si>
    <t>Valor de ese capital a plazo fijo, misma fecha de salida</t>
  </si>
  <si>
    <t>Renta del plazo fijo en el período</t>
  </si>
  <si>
    <t>Resultado del negocio vs. plazo fijo (diferencia)</t>
  </si>
  <si>
    <t>Resultado del negocio vs. plazo fijo (%)</t>
  </si>
  <si>
    <t>9. PRECIO Y PRODUCCIÓN DE INDIFERENCIA</t>
  </si>
  <si>
    <t>Precio de indiferencia de venta</t>
  </si>
  <si>
    <t>Producción de indiferencia (kg adicionales necesarios)</t>
  </si>
  <si>
    <t>Nota: si la producción de indiferencia da negativa, significa que el margen ya es positivo sin necesitar más kilos (el costo de compra ya está cubierto por el precio actual) — no es un error.</t>
  </si>
  <si>
    <t>10. COSTOS DIFERENCIALES ENTRE TIEMPOS DE SALIDA (vs. Camino 1 = referencia más corta)</t>
  </si>
  <si>
    <t>Meses adicionales respecto al Camino 1 (oct)</t>
  </si>
  <si>
    <t>Costo financiero adicional respecto al Camino 1</t>
  </si>
  <si>
    <t>Renta de plazo fijo adicional (lucro cesante de esperar)</t>
  </si>
  <si>
    <t>11. CUADRO RESUMEN — comparación de los 5 caminos</t>
  </si>
  <si>
    <t>Indicador</t>
  </si>
  <si>
    <t>Fecha de salida</t>
  </si>
  <si>
    <t>Duración desde oct (días)</t>
  </si>
  <si>
    <t>Peso de venta (kg)</t>
  </si>
  <si>
    <t>Margen bruto ($/cab)</t>
  </si>
  <si>
    <t>Margen bruto (USD/cab)</t>
  </si>
  <si>
    <t>Margen dps. costo financiero ($/cab)</t>
  </si>
  <si>
    <t>Resultado vs. plazo fijo ($/cab)</t>
  </si>
  <si>
    <t>Resultado vs. plazo fijo (%)</t>
  </si>
  <si>
    <t>Precio de indiferencia ($/kg)</t>
  </si>
  <si>
    <t>Lectura sugerida: comparar 'Resultado vs. plazo fijo' entre caminos — el que más se aleje en positivo es el que mejor compensa el tiempo y riesgo adicional de esperar. Costos de alimentación de corral/pastura (fila 4) son valores de referencia a completar con el detalle real antes de cerrar el podcast.</t>
  </si>
  <si>
    <t>Referencias de color:</t>
  </si>
  <si>
    <t>Amarillo: Input editable — valores que se cargan/actualizan a mano en cada camino</t>
  </si>
  <si>
    <t>Verde (texto): Link a la hoja Parámetros — se actualiza solo desde ahí</t>
  </si>
  <si>
    <t>12. COSTO DE ALIMENTACIÓN POR KG GANADO (apoyo — completar corriendo la dieta en el archivo '00 Sistemas de Engorde Novillo')</t>
  </si>
  <si>
    <t>Costo por kg ganado ($/kg) — según sistema de alimentación de cada camino</t>
  </si>
  <si>
    <t>No aplica — venta directa sin engorde adicional.</t>
  </si>
  <si>
    <t>A cargo del capitalizador, no es costo del dueño.</t>
  </si>
  <si>
    <t>Corral liviano ~1,2 kg/d: correr hoja 'Corral de inicio' del archivo viejo con estos parámetros → tomar celda P18 (Costo kg ganado).</t>
  </si>
  <si>
    <t>Pastura propia: estimar costo de verdeo/pastura por kg producido (no hay hoja de dieta específica para pastura en el archivo viejo — cargar a mano).</t>
  </si>
  <si>
    <t>Recría pastura + 90d corral 1,1 kg/d: combinar costo de pastura (parte 1) + hoja 'Novillito Grano)' o 'Maiz+cp liviano' del archivo viejo para el tramo de corral (parte 2).</t>
  </si>
  <si>
    <t>reparto sobre kilos ganados, no sobre valor.</t>
  </si>
  <si>
    <r>
      <t xml:space="preserve">La fórmula </t>
    </r>
    <r>
      <rPr>
        <i/>
        <sz val="8"/>
        <color rgb="FFFF0000"/>
        <rFont val="Arial Unicode MS"/>
      </rPr>
      <t>=(1+TNA)^(1/12)-1</t>
    </r>
    <r>
      <rPr>
        <i/>
        <sz val="8"/>
        <color rgb="FFFF0000"/>
        <rFont val="Calibri"/>
        <family val="2"/>
        <charset val="1"/>
      </rPr>
      <t xml:space="preserve"> asume interés compuesto mensual. Un plazo fijo real a 30 días no capitaliza dentro del mes — es simple: </t>
    </r>
    <r>
      <rPr>
        <i/>
        <sz val="8"/>
        <color rgb="FFFF0000"/>
        <rFont val="Arial Unicode MS"/>
      </rPr>
      <t>TNA/12</t>
    </r>
    <r>
      <rPr>
        <i/>
        <sz val="8"/>
        <color rgb="FFFF0000"/>
        <rFont val="Calibri"/>
        <family val="2"/>
        <charset val="1"/>
      </rPr>
      <t xml:space="preserve">. La diferencia es chica a estos plazos, pero cuando lo uso para proyectar 5-7 meses hacia adelante (fila 69, </t>
    </r>
    <r>
      <rPr>
        <i/>
        <sz val="8"/>
        <color rgb="FFFF0000"/>
        <rFont val="Arial Unicode MS"/>
      </rPr>
      <t>=(1+TNA)^(meses/12)</t>
    </r>
    <r>
      <rPr>
        <i/>
        <sz val="8"/>
        <color rgb="FFFF0000"/>
        <rFont val="Calibri"/>
        <family val="2"/>
        <charset val="1"/>
      </rPr>
      <t>) sí importa</t>
    </r>
  </si>
  <si>
    <t>Al precio de compra lo llevo hacia adelante con inflación esperada (capitalizando). Al precio de venta futuro lo traigo hacia atrás con la misma tasa (descontando)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</si>
</sst>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%"/>
    <numFmt numFmtId="166" formatCode="0.0"/>
    <numFmt numFmtId="167" formatCode="dd\-mmm\-yy"/>
  </numFmts>
  <fonts count="25">
    <font>
      <sz val="11"/>
      <color theme="1"/>
      <name val="Calibri"/>
      <family val="2"/>
      <charset val="1"/>
    </font>
    <font>
      <b/>
      <sz val="16"/>
      <color rgb="FFFFFFFF"/>
      <name val="Aptos"/>
      <charset val="1"/>
    </font>
    <font>
      <i/>
      <sz val="10"/>
      <color rgb="FF666666"/>
      <name val="Aptos"/>
      <charset val="1"/>
    </font>
    <font>
      <b/>
      <sz val="12"/>
      <color rgb="FFFFFFFF"/>
      <name val="Aptos"/>
      <charset val="1"/>
    </font>
    <font>
      <sz val="11"/>
      <color rgb="FF000000"/>
      <name val="Aptos"/>
      <charset val="1"/>
    </font>
    <font>
      <sz val="11"/>
      <color rgb="FF0000FF"/>
      <name val="Aptos"/>
      <charset val="1"/>
    </font>
    <font>
      <i/>
      <sz val="9"/>
      <color rgb="FF666666"/>
      <name val="Aptos"/>
      <charset val="1"/>
    </font>
    <font>
      <i/>
      <sz val="8"/>
      <color rgb="FF0563C1"/>
      <name val="Aptos"/>
      <charset val="1"/>
    </font>
    <font>
      <b/>
      <sz val="11"/>
      <color rgb="FF000000"/>
      <name val="Aptos"/>
      <charset val="1"/>
    </font>
    <font>
      <b/>
      <sz val="18"/>
      <color rgb="FFFFFFFF"/>
      <name val="Aptos"/>
      <charset val="1"/>
    </font>
    <font>
      <b/>
      <sz val="11"/>
      <color rgb="FFFFFFFF"/>
      <name val="Aptos"/>
      <charset val="1"/>
    </font>
    <font>
      <b/>
      <sz val="11"/>
      <color rgb="FFFFFFFF"/>
      <name val="Aptos"/>
      <family val="2"/>
      <charset val="1"/>
    </font>
    <font>
      <i/>
      <sz val="8"/>
      <color rgb="FF666666"/>
      <name val="Aptos"/>
      <charset val="1"/>
    </font>
    <font>
      <i/>
      <sz val="9"/>
      <color rgb="FF777777"/>
      <name val="Aptos"/>
      <charset val="1"/>
    </font>
    <font>
      <sz val="11"/>
      <name val="Aptos"/>
      <charset val="1"/>
    </font>
    <font>
      <sz val="11"/>
      <color rgb="FF006100"/>
      <name val="Aptos"/>
      <charset val="1"/>
    </font>
    <font>
      <i/>
      <sz val="11"/>
      <color rgb="FF000000"/>
      <name val="Aptos"/>
      <charset val="1"/>
    </font>
    <font>
      <sz val="11"/>
      <color rgb="FF0070C0"/>
      <name val="Calibri"/>
      <family val="2"/>
      <charset val="1"/>
    </font>
    <font>
      <b/>
      <sz val="10"/>
      <name val="Aptos"/>
      <charset val="1"/>
    </font>
    <font>
      <i/>
      <sz val="9"/>
      <color rgb="FF000000"/>
      <name val="Aptos"/>
      <charset val="1"/>
    </font>
    <font>
      <i/>
      <sz val="9"/>
      <color rgb="FF006100"/>
      <name val="Aptos"/>
      <charset val="1"/>
    </font>
    <font>
      <i/>
      <sz val="10"/>
      <color rgb="FFFF0000"/>
      <name val="Aptos"/>
      <family val="2"/>
    </font>
    <font>
      <i/>
      <sz val="9"/>
      <color rgb="FF666666"/>
      <name val="Aptos"/>
      <family val="2"/>
    </font>
    <font>
      <i/>
      <sz val="8"/>
      <color rgb="FFFF0000"/>
      <name val="Calibri"/>
      <family val="2"/>
      <charset val="1"/>
    </font>
    <font>
      <i/>
      <sz val="8"/>
      <color rgb="FFFF0000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2F5233"/>
        <bgColor rgb="FF333300"/>
      </patternFill>
    </fill>
    <fill>
      <patternFill patternType="solid">
        <fgColor rgb="FF4A7C59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EAF2EC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6" fillId="0" borderId="0" xfId="0" applyFont="1"/>
    <xf numFmtId="0" fontId="10" fillId="2" borderId="0" xfId="0" applyFont="1" applyFill="1" applyAlignment="1">
      <alignment vertical="center" indent="1"/>
    </xf>
    <xf numFmtId="0" fontId="9" fillId="2" borderId="0" xfId="0" applyFont="1" applyFill="1" applyAlignment="1">
      <alignment vertical="center" indent="1"/>
    </xf>
    <xf numFmtId="0" fontId="3" fillId="3" borderId="0" xfId="0" applyFont="1" applyFill="1" applyAlignment="1">
      <alignment vertical="center" indent="1"/>
    </xf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4" fillId="0" borderId="0" xfId="0" applyFont="1"/>
    <xf numFmtId="165" fontId="5" fillId="4" borderId="1" xfId="0" applyNumberFormat="1" applyFont="1" applyFill="1" applyBorder="1" applyAlignment="1">
      <alignment horizontal="center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9" fontId="5" fillId="4" borderId="1" xfId="0" applyNumberFormat="1" applyFont="1" applyFill="1" applyBorder="1" applyAlignment="1">
      <alignment horizontal="center"/>
    </xf>
    <xf numFmtId="10" fontId="4" fillId="0" borderId="0" xfId="0" applyNumberFormat="1" applyFont="1" applyAlignment="1">
      <alignment horizontal="center"/>
    </xf>
    <xf numFmtId="3" fontId="5" fillId="4" borderId="1" xfId="0" applyNumberFormat="1" applyFont="1" applyFill="1" applyBorder="1" applyAlignment="1">
      <alignment horizontal="center"/>
    </xf>
    <xf numFmtId="166" fontId="4" fillId="0" borderId="0" xfId="0" applyNumberFormat="1" applyFont="1" applyAlignment="1">
      <alignment horizontal="center"/>
    </xf>
    <xf numFmtId="0" fontId="8" fillId="0" borderId="0" xfId="0" applyFont="1"/>
    <xf numFmtId="3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8" fillId="0" borderId="0" xfId="0" applyFont="1" applyAlignment="1">
      <alignment wrapText="1"/>
    </xf>
    <xf numFmtId="0" fontId="4" fillId="0" borderId="0" xfId="0" applyFont="1" applyAlignment="1">
      <alignment wrapText="1"/>
    </xf>
    <xf numFmtId="167" fontId="5" fillId="4" borderId="1" xfId="0" applyNumberFormat="1" applyFont="1" applyFill="1" applyBorder="1" applyAlignment="1">
      <alignment horizontal="center"/>
    </xf>
    <xf numFmtId="0" fontId="13" fillId="0" borderId="0" xfId="0" applyFont="1"/>
    <xf numFmtId="0" fontId="5" fillId="4" borderId="1" xfId="0" applyFont="1" applyFill="1" applyBorder="1" applyAlignment="1">
      <alignment horizontal="center"/>
    </xf>
    <xf numFmtId="0" fontId="14" fillId="0" borderId="0" xfId="0" applyFont="1" applyAlignment="1">
      <alignment wrapText="1"/>
    </xf>
    <xf numFmtId="3" fontId="15" fillId="0" borderId="0" xfId="0" applyNumberFormat="1" applyFont="1" applyAlignment="1">
      <alignment horizontal="center"/>
    </xf>
    <xf numFmtId="9" fontId="15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6" fillId="0" borderId="0" xfId="0" applyFont="1" applyAlignment="1">
      <alignment wrapText="1"/>
    </xf>
    <xf numFmtId="0" fontId="6" fillId="0" borderId="0" xfId="0" applyFont="1"/>
    <xf numFmtId="0" fontId="13" fillId="0" borderId="0" xfId="0" applyFont="1" applyAlignment="1">
      <alignment wrapText="1"/>
    </xf>
    <xf numFmtId="1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14" fillId="4" borderId="1" xfId="0" applyNumberFormat="1" applyFont="1" applyFill="1" applyBorder="1" applyAlignment="1">
      <alignment horizontal="center"/>
    </xf>
    <xf numFmtId="9" fontId="17" fillId="4" borderId="0" xfId="0" applyNumberFormat="1" applyFont="1" applyFill="1"/>
    <xf numFmtId="9" fontId="8" fillId="0" borderId="0" xfId="0" applyNumberFormat="1" applyFont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167" fontId="4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0" fontId="18" fillId="0" borderId="0" xfId="0" applyFont="1" applyAlignment="1">
      <alignment wrapText="1"/>
    </xf>
    <xf numFmtId="0" fontId="19" fillId="4" borderId="0" xfId="0" applyFont="1" applyFill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/>
    <xf numFmtId="14" fontId="5" fillId="4" borderId="1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 wrapText="1"/>
    </xf>
    <xf numFmtId="0" fontId="2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70C0"/>
      <rgbColor rgb="FFCCCCCC"/>
      <rgbColor rgb="FF777777"/>
      <rgbColor rgb="FF9999FF"/>
      <rgbColor rgb="FF993366"/>
      <rgbColor rgb="FFEAF2E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4A7C59"/>
      <rgbColor rgb="FF003300"/>
      <rgbColor rgb="FF333300"/>
      <rgbColor rgb="FF993300"/>
      <rgbColor rgb="FF993366"/>
      <rgbColor rgb="FF333399"/>
      <rgbColor rgb="FF2F52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35"/>
  <sheetViews>
    <sheetView showGridLines="0" topLeftCell="A21" zoomScaleNormal="100" workbookViewId="0">
      <selection activeCell="C23" sqref="C23"/>
    </sheetView>
  </sheetViews>
  <sheetFormatPr baseColWidth="10" defaultColWidth="8.6640625" defaultRowHeight="14.4"/>
  <cols>
    <col min="1" max="1" width="2" customWidth="1"/>
    <col min="2" max="2" width="46.88671875" customWidth="1"/>
    <col min="3" max="3" width="16" customWidth="1"/>
    <col min="4" max="4" width="55" customWidth="1"/>
    <col min="5" max="5" width="48.21875" customWidth="1"/>
  </cols>
  <sheetData>
    <row r="2" spans="2:5" ht="21">
      <c r="B2" s="5" t="s">
        <v>0</v>
      </c>
      <c r="C2" s="5"/>
      <c r="D2" s="5"/>
    </row>
    <row r="3" spans="2:5">
      <c r="B3" s="6" t="s">
        <v>1</v>
      </c>
      <c r="C3" s="52">
        <v>46254</v>
      </c>
      <c r="D3" s="51" t="s">
        <v>2</v>
      </c>
    </row>
    <row r="5" spans="2:5" ht="15.6">
      <c r="B5" s="4" t="s">
        <v>3</v>
      </c>
      <c r="C5" s="4"/>
      <c r="D5" s="4"/>
    </row>
    <row r="7" spans="2:5" ht="36">
      <c r="B7" s="7" t="s">
        <v>4</v>
      </c>
      <c r="C7" s="8">
        <v>1.7500000000000002E-2</v>
      </c>
      <c r="D7" s="9" t="s">
        <v>5</v>
      </c>
      <c r="E7" s="10" t="s">
        <v>6</v>
      </c>
    </row>
    <row r="8" spans="2:5">
      <c r="B8" s="7" t="s">
        <v>7</v>
      </c>
      <c r="C8" s="11">
        <v>0.19</v>
      </c>
      <c r="D8" s="9" t="s">
        <v>8</v>
      </c>
      <c r="E8" s="10" t="s">
        <v>9</v>
      </c>
    </row>
    <row r="9" spans="2:5">
      <c r="B9" s="7" t="s">
        <v>10</v>
      </c>
      <c r="C9" s="12">
        <f>(1+C8)^(1/12)-1</f>
        <v>1.4601687054440093E-2</v>
      </c>
      <c r="D9" s="9" t="s">
        <v>11</v>
      </c>
    </row>
    <row r="10" spans="2:5">
      <c r="B10" s="7" t="s">
        <v>12</v>
      </c>
      <c r="C10" s="11">
        <v>0.25</v>
      </c>
      <c r="D10" s="9" t="s">
        <v>13</v>
      </c>
    </row>
    <row r="12" spans="2:5" ht="15.6">
      <c r="B12" s="4" t="s">
        <v>14</v>
      </c>
      <c r="C12" s="4"/>
      <c r="D12" s="4"/>
    </row>
    <row r="14" spans="2:5">
      <c r="B14" s="7" t="s">
        <v>15</v>
      </c>
      <c r="C14" s="13">
        <v>1515</v>
      </c>
      <c r="D14" s="9" t="s">
        <v>16</v>
      </c>
    </row>
    <row r="15" spans="2:5">
      <c r="B15" s="7" t="s">
        <v>17</v>
      </c>
      <c r="C15" s="13">
        <v>1652</v>
      </c>
      <c r="D15" s="9" t="s">
        <v>18</v>
      </c>
      <c r="E15" s="10" t="s">
        <v>6</v>
      </c>
    </row>
    <row r="17" spans="2:5" ht="15.6">
      <c r="B17" s="4" t="s">
        <v>19</v>
      </c>
      <c r="C17" s="4"/>
      <c r="D17" s="4"/>
    </row>
    <row r="18" spans="2:5">
      <c r="B18" t="s">
        <v>52</v>
      </c>
      <c r="C18" s="52">
        <v>46113</v>
      </c>
    </row>
    <row r="19" spans="2:5" ht="24">
      <c r="B19" s="7" t="s">
        <v>20</v>
      </c>
      <c r="C19" s="13">
        <v>6600</v>
      </c>
      <c r="D19" s="9" t="s">
        <v>21</v>
      </c>
    </row>
    <row r="20" spans="2:5" ht="24">
      <c r="B20" s="7" t="s">
        <v>22</v>
      </c>
      <c r="C20" s="14">
        <f>(C3-C18)/30</f>
        <v>4.7</v>
      </c>
      <c r="D20" s="9" t="s">
        <v>23</v>
      </c>
    </row>
    <row r="21" spans="2:5" ht="42">
      <c r="B21" s="15" t="s">
        <v>24</v>
      </c>
      <c r="C21" s="16">
        <f>C19*(1+C7)^C20</f>
        <v>7160.7036351166744</v>
      </c>
      <c r="D21" s="9" t="s">
        <v>25</v>
      </c>
      <c r="E21" s="54" t="s">
        <v>147</v>
      </c>
    </row>
    <row r="22" spans="2:5" ht="31.8">
      <c r="E22" s="54" t="s">
        <v>148</v>
      </c>
    </row>
    <row r="23" spans="2:5" ht="24">
      <c r="B23" s="7" t="s">
        <v>26</v>
      </c>
      <c r="C23" s="13">
        <v>6200</v>
      </c>
      <c r="D23" s="9" t="s">
        <v>27</v>
      </c>
    </row>
    <row r="24" spans="2:5" ht="24">
      <c r="B24" s="7" t="s">
        <v>28</v>
      </c>
      <c r="C24" s="13">
        <v>4600</v>
      </c>
      <c r="D24" s="9" t="s">
        <v>29</v>
      </c>
    </row>
    <row r="25" spans="2:5" ht="24">
      <c r="B25" s="7" t="s">
        <v>30</v>
      </c>
      <c r="C25" s="13">
        <v>4600</v>
      </c>
      <c r="D25" s="9" t="s">
        <v>31</v>
      </c>
    </row>
    <row r="27" spans="2:5" ht="15.6">
      <c r="B27" s="4" t="s">
        <v>32</v>
      </c>
      <c r="C27" s="4"/>
      <c r="D27" s="4"/>
    </row>
    <row r="29" spans="2:5">
      <c r="B29" s="7" t="s">
        <v>33</v>
      </c>
      <c r="C29" s="11">
        <v>0.05</v>
      </c>
    </row>
    <row r="30" spans="2:5">
      <c r="B30" s="7" t="s">
        <v>34</v>
      </c>
      <c r="C30" s="11">
        <v>7.0000000000000007E-2</v>
      </c>
    </row>
    <row r="32" spans="2:5" ht="15.6">
      <c r="B32" s="4" t="s">
        <v>35</v>
      </c>
      <c r="C32" s="4"/>
      <c r="D32" s="4"/>
    </row>
    <row r="34" spans="2:4">
      <c r="B34" s="7" t="s">
        <v>36</v>
      </c>
      <c r="C34" s="11">
        <v>0.45</v>
      </c>
      <c r="D34" s="53" t="s">
        <v>146</v>
      </c>
    </row>
    <row r="35" spans="2:4">
      <c r="B35" s="7" t="s">
        <v>37</v>
      </c>
      <c r="C35" s="17">
        <f>1-C34</f>
        <v>0.55000000000000004</v>
      </c>
    </row>
  </sheetData>
  <mergeCells count="6">
    <mergeCell ref="B32:D32"/>
    <mergeCell ref="B2:D2"/>
    <mergeCell ref="B5:D5"/>
    <mergeCell ref="B12:D12"/>
    <mergeCell ref="B17:D17"/>
    <mergeCell ref="B27:D2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K105"/>
  <sheetViews>
    <sheetView showGridLines="0" tabSelected="1" zoomScale="85" zoomScaleNormal="85" workbookViewId="0">
      <pane xSplit="6" ySplit="4" topLeftCell="G55" activePane="bottomRight" state="frozen"/>
      <selection pane="topRight" activeCell="G1" sqref="G1"/>
      <selection pane="bottomLeft" activeCell="A41" sqref="A41"/>
      <selection pane="bottomRight" activeCell="I72" sqref="I72"/>
    </sheetView>
  </sheetViews>
  <sheetFormatPr baseColWidth="10" defaultColWidth="8.6640625" defaultRowHeight="14.4"/>
  <cols>
    <col min="1" max="2" width="2" customWidth="1"/>
    <col min="3" max="3" width="38.21875" style="18" customWidth="1"/>
    <col min="4" max="4" width="10" customWidth="1"/>
    <col min="5" max="5" width="13.21875" customWidth="1"/>
    <col min="6" max="6" width="3" customWidth="1"/>
    <col min="7" max="11" width="20" customWidth="1"/>
  </cols>
  <sheetData>
    <row r="2" spans="3:11" ht="23.25" customHeight="1">
      <c r="C2" s="3" t="s">
        <v>38</v>
      </c>
      <c r="D2" s="3"/>
      <c r="E2" s="3"/>
      <c r="F2" s="3"/>
      <c r="G2" s="3"/>
      <c r="H2" s="3"/>
      <c r="I2" s="3"/>
      <c r="J2" s="3"/>
      <c r="K2" s="3"/>
    </row>
    <row r="3" spans="3:11">
      <c r="G3" s="19">
        <v>1</v>
      </c>
      <c r="H3" s="19">
        <v>2</v>
      </c>
      <c r="I3" s="19">
        <v>3</v>
      </c>
      <c r="J3" s="19">
        <v>4</v>
      </c>
      <c r="K3" s="19">
        <v>5</v>
      </c>
    </row>
    <row r="4" spans="3:11" ht="28.5" customHeight="1">
      <c r="C4" s="2" t="s">
        <v>39</v>
      </c>
      <c r="D4" s="2"/>
      <c r="E4" s="2"/>
      <c r="G4" s="20" t="s">
        <v>40</v>
      </c>
      <c r="H4" s="20" t="s">
        <v>41</v>
      </c>
      <c r="I4" s="20" t="s">
        <v>42</v>
      </c>
      <c r="J4" s="20" t="s">
        <v>43</v>
      </c>
      <c r="K4" s="20" t="s">
        <v>44</v>
      </c>
    </row>
    <row r="5" spans="3:11" ht="42.75" customHeight="1">
      <c r="G5" s="21" t="s">
        <v>45</v>
      </c>
      <c r="H5" s="21" t="s">
        <v>46</v>
      </c>
      <c r="I5" s="21" t="s">
        <v>47</v>
      </c>
      <c r="J5" s="21" t="s">
        <v>48</v>
      </c>
      <c r="K5" s="21" t="s">
        <v>49</v>
      </c>
    </row>
    <row r="6" spans="3:11">
      <c r="C6" s="22" t="s">
        <v>50</v>
      </c>
      <c r="E6" s="15" t="s">
        <v>51</v>
      </c>
    </row>
    <row r="7" spans="3:11">
      <c r="C7" s="23" t="s">
        <v>52</v>
      </c>
      <c r="E7" s="24">
        <v>46113</v>
      </c>
    </row>
    <row r="8" spans="3:11">
      <c r="C8" s="23" t="s">
        <v>53</v>
      </c>
      <c r="D8" s="25" t="s">
        <v>54</v>
      </c>
      <c r="E8" s="26">
        <v>180</v>
      </c>
    </row>
    <row r="9" spans="3:11" ht="28.8">
      <c r="C9" s="27" t="s">
        <v>55</v>
      </c>
      <c r="D9" s="25" t="s">
        <v>56</v>
      </c>
      <c r="E9" s="28">
        <f>'Parametros a actualizar'!$C$21</f>
        <v>7160.7036351166744</v>
      </c>
    </row>
    <row r="10" spans="3:11">
      <c r="C10" s="23" t="s">
        <v>57</v>
      </c>
      <c r="E10" s="29">
        <f>'Parametros a actualizar'!$C$29</f>
        <v>0.05</v>
      </c>
    </row>
    <row r="12" spans="3:11">
      <c r="C12" s="23" t="s">
        <v>58</v>
      </c>
      <c r="D12" s="25" t="s">
        <v>59</v>
      </c>
      <c r="E12" s="26">
        <v>0.7</v>
      </c>
    </row>
    <row r="13" spans="3:11">
      <c r="C13" s="23" t="s">
        <v>60</v>
      </c>
      <c r="D13" s="25" t="s">
        <v>54</v>
      </c>
      <c r="E13" s="26">
        <v>270</v>
      </c>
    </row>
    <row r="14" spans="3:11">
      <c r="C14" s="23" t="s">
        <v>61</v>
      </c>
      <c r="E14" s="24">
        <v>46296</v>
      </c>
    </row>
    <row r="15" spans="3:11">
      <c r="C15" s="23" t="s">
        <v>62</v>
      </c>
      <c r="D15" s="25" t="s">
        <v>63</v>
      </c>
      <c r="E15" s="30">
        <f>E14-E7</f>
        <v>183</v>
      </c>
    </row>
    <row r="16" spans="3:11">
      <c r="C16" s="23" t="s">
        <v>64</v>
      </c>
      <c r="D16" s="25" t="s">
        <v>65</v>
      </c>
      <c r="E16" s="30">
        <f>E13-E8</f>
        <v>90</v>
      </c>
    </row>
    <row r="18" spans="3:11">
      <c r="C18" s="31" t="s">
        <v>66</v>
      </c>
      <c r="E18" s="32" t="s">
        <v>67</v>
      </c>
    </row>
    <row r="20" spans="3:11" ht="28.5" customHeight="1">
      <c r="C20" s="22" t="s">
        <v>68</v>
      </c>
      <c r="D20" s="25" t="s">
        <v>69</v>
      </c>
      <c r="E20" s="16">
        <f>E8*E9*(1+E10)</f>
        <v>1353372.9870370515</v>
      </c>
    </row>
    <row r="21" spans="3:11" ht="28.5" customHeight="1">
      <c r="C21" s="22" t="s">
        <v>70</v>
      </c>
      <c r="D21" s="25" t="s">
        <v>71</v>
      </c>
    </row>
    <row r="22" spans="3:11" ht="24" customHeight="1">
      <c r="C22" s="33" t="s">
        <v>72</v>
      </c>
    </row>
    <row r="24" spans="3:11" ht="15" customHeight="1">
      <c r="C24" s="4" t="s">
        <v>73</v>
      </c>
      <c r="D24" s="4"/>
      <c r="E24" s="4"/>
      <c r="F24" s="4"/>
      <c r="G24" s="4"/>
      <c r="H24" s="4"/>
      <c r="I24" s="4"/>
      <c r="J24" s="4"/>
      <c r="K24" s="4"/>
    </row>
    <row r="25" spans="3:11">
      <c r="C25" s="23" t="s">
        <v>74</v>
      </c>
      <c r="D25" s="25" t="s">
        <v>54</v>
      </c>
      <c r="G25" s="34">
        <f>$E$13</f>
        <v>270</v>
      </c>
      <c r="H25" s="34">
        <f>$E$13</f>
        <v>270</v>
      </c>
      <c r="I25" s="34">
        <f>$E$13</f>
        <v>270</v>
      </c>
      <c r="J25" s="34">
        <f>$E$13</f>
        <v>270</v>
      </c>
      <c r="K25" s="34">
        <f>$E$13</f>
        <v>270</v>
      </c>
    </row>
    <row r="26" spans="3:11">
      <c r="C26" s="23" t="s">
        <v>75</v>
      </c>
      <c r="G26" s="35">
        <f>$E$14</f>
        <v>46296</v>
      </c>
      <c r="H26" s="35">
        <f>$E$14</f>
        <v>46296</v>
      </c>
      <c r="I26" s="35">
        <f>$E$14</f>
        <v>46296</v>
      </c>
      <c r="J26" s="35">
        <f>$E$14</f>
        <v>46296</v>
      </c>
      <c r="K26" s="35">
        <f>$E$14</f>
        <v>46296</v>
      </c>
    </row>
    <row r="27" spans="3:11">
      <c r="C27" s="23" t="s">
        <v>76</v>
      </c>
      <c r="D27" s="25" t="s">
        <v>54</v>
      </c>
      <c r="G27" s="26">
        <v>270</v>
      </c>
      <c r="H27" s="26">
        <v>435</v>
      </c>
      <c r="I27" s="26">
        <v>415</v>
      </c>
      <c r="J27" s="26">
        <v>435</v>
      </c>
      <c r="K27" s="26">
        <v>500</v>
      </c>
    </row>
    <row r="28" spans="3:11">
      <c r="C28" s="23" t="s">
        <v>77</v>
      </c>
      <c r="D28" s="25" t="s">
        <v>59</v>
      </c>
      <c r="H28" s="26">
        <v>0.55000000000000004</v>
      </c>
      <c r="I28" s="26">
        <v>1.2</v>
      </c>
      <c r="J28" s="26">
        <v>0.6</v>
      </c>
    </row>
    <row r="29" spans="3:11">
      <c r="C29" s="23" t="s">
        <v>78</v>
      </c>
      <c r="G29" s="24">
        <v>46296</v>
      </c>
      <c r="H29" s="24">
        <v>46447</v>
      </c>
      <c r="I29" s="24">
        <v>46419</v>
      </c>
      <c r="J29" s="24">
        <v>46447</v>
      </c>
      <c r="K29" s="24">
        <v>46508</v>
      </c>
    </row>
    <row r="30" spans="3:11">
      <c r="C30" s="23" t="s">
        <v>79</v>
      </c>
      <c r="D30" s="25" t="s">
        <v>63</v>
      </c>
      <c r="G30" s="30">
        <f>G29-G26</f>
        <v>0</v>
      </c>
      <c r="H30" s="30">
        <f>H29-H26</f>
        <v>151</v>
      </c>
      <c r="I30" s="30">
        <f>I29-I26</f>
        <v>123</v>
      </c>
      <c r="J30" s="30">
        <f>J29-J26</f>
        <v>151</v>
      </c>
      <c r="K30" s="30">
        <f>K29-K26</f>
        <v>212</v>
      </c>
    </row>
    <row r="31" spans="3:11">
      <c r="C31" s="23" t="s">
        <v>80</v>
      </c>
      <c r="D31" s="25" t="s">
        <v>65</v>
      </c>
      <c r="G31" s="30">
        <f>G27-G25</f>
        <v>0</v>
      </c>
      <c r="H31" s="30">
        <f>H27-H25</f>
        <v>165</v>
      </c>
      <c r="I31" s="30">
        <f>I27-I25</f>
        <v>145</v>
      </c>
      <c r="J31" s="30">
        <f>J27-J25</f>
        <v>165</v>
      </c>
      <c r="K31" s="30">
        <f>K27-K25</f>
        <v>230</v>
      </c>
    </row>
    <row r="32" spans="3:11">
      <c r="C32" s="23" t="s">
        <v>81</v>
      </c>
      <c r="D32" s="25" t="s">
        <v>82</v>
      </c>
      <c r="G32" s="11">
        <v>0</v>
      </c>
      <c r="H32" s="11">
        <v>0.01</v>
      </c>
      <c r="I32" s="11">
        <v>0.02</v>
      </c>
      <c r="J32" s="11">
        <v>0.01</v>
      </c>
      <c r="K32" s="11">
        <v>1.4999999999999999E-2</v>
      </c>
    </row>
    <row r="34" spans="3:11" ht="15" customHeight="1">
      <c r="C34" s="4" t="s">
        <v>83</v>
      </c>
      <c r="D34" s="4"/>
      <c r="E34" s="4"/>
      <c r="F34" s="4"/>
      <c r="G34" s="4"/>
      <c r="H34" s="4"/>
      <c r="I34" s="4"/>
      <c r="J34" s="4"/>
      <c r="K34" s="4"/>
    </row>
    <row r="35" spans="3:11" ht="28.5" customHeight="1">
      <c r="C35" s="23" t="s">
        <v>84</v>
      </c>
      <c r="D35" s="25" t="s">
        <v>56</v>
      </c>
      <c r="G35" s="28">
        <f>'Parametros a actualizar'!$C$23</f>
        <v>6200</v>
      </c>
      <c r="H35" s="28">
        <f>'Parametros a actualizar'!$C$23</f>
        <v>6200</v>
      </c>
      <c r="I35" s="28">
        <f>'Parametros a actualizar'!$C$23</f>
        <v>6200</v>
      </c>
      <c r="J35" s="28">
        <f>'Parametros a actualizar'!$C$23</f>
        <v>6200</v>
      </c>
      <c r="K35" s="28">
        <f>'Parametros a actualizar'!$C$23</f>
        <v>6200</v>
      </c>
    </row>
    <row r="36" spans="3:11" ht="28.5" customHeight="1">
      <c r="C36" s="23" t="s">
        <v>85</v>
      </c>
      <c r="D36" s="25" t="s">
        <v>56</v>
      </c>
      <c r="G36" s="28">
        <f>'Parametros a actualizar'!$C$23</f>
        <v>6200</v>
      </c>
      <c r="H36" s="28">
        <f>'Parametros a actualizar'!$C$24</f>
        <v>4600</v>
      </c>
      <c r="I36" s="28">
        <f>'Parametros a actualizar'!$C$24</f>
        <v>4600</v>
      </c>
      <c r="J36" s="28">
        <f>'Parametros a actualizar'!$C$24</f>
        <v>4600</v>
      </c>
      <c r="K36" s="28">
        <f>'Parametros a actualizar'!$C$25</f>
        <v>4600</v>
      </c>
    </row>
    <row r="37" spans="3:11" ht="28.5" customHeight="1">
      <c r="C37" s="23" t="s">
        <v>86</v>
      </c>
      <c r="D37" s="25" t="s">
        <v>87</v>
      </c>
      <c r="G37" s="14">
        <f>(G29-G26)/30</f>
        <v>0</v>
      </c>
      <c r="H37" s="14">
        <f>(H29-H26)/30</f>
        <v>5.0333333333333332</v>
      </c>
      <c r="I37" s="14">
        <f>(I29-I26)/30</f>
        <v>4.0999999999999996</v>
      </c>
      <c r="J37" s="14">
        <f>(J29-J26)/30</f>
        <v>5.0333333333333332</v>
      </c>
      <c r="K37" s="14">
        <f>(K29-K26)/30</f>
        <v>7.0666666666666664</v>
      </c>
    </row>
    <row r="38" spans="3:11" ht="28.5" customHeight="1">
      <c r="C38" s="22" t="s">
        <v>88</v>
      </c>
      <c r="D38" s="25" t="s">
        <v>56</v>
      </c>
      <c r="G38" s="16">
        <f>G36/(1+'Parametros a actualizar'!$C$7)^G37</f>
        <v>6200</v>
      </c>
      <c r="H38" s="16">
        <f>H36/(1+'Parametros a actualizar'!$C$7)^H37</f>
        <v>4215.3592699763112</v>
      </c>
      <c r="I38" s="16">
        <f>I36/(1+'Parametros a actualizar'!$C$7)^I37</f>
        <v>4284.1702227137912</v>
      </c>
      <c r="J38" s="16">
        <f>J36/(1+'Parametros a actualizar'!$C$7)^J37</f>
        <v>4215.3592699763112</v>
      </c>
      <c r="K38" s="16">
        <f>K36/(1+'Parametros a actualizar'!$C$7)^K37</f>
        <v>4069.2522461220933</v>
      </c>
    </row>
    <row r="40" spans="3:11">
      <c r="C40" s="1" t="s">
        <v>89</v>
      </c>
      <c r="D40" s="1"/>
      <c r="E40" s="1"/>
      <c r="F40" s="1"/>
      <c r="G40" s="1"/>
      <c r="H40" s="1"/>
      <c r="I40" s="1"/>
      <c r="J40" s="1"/>
      <c r="K40" s="1"/>
    </row>
    <row r="42" spans="3:11" ht="15" customHeight="1">
      <c r="C42" s="4" t="s">
        <v>90</v>
      </c>
      <c r="D42" s="4"/>
      <c r="E42" s="4"/>
      <c r="F42" s="4"/>
      <c r="G42" s="4"/>
      <c r="H42" s="4"/>
      <c r="I42" s="4"/>
      <c r="J42" s="4"/>
      <c r="K42" s="4"/>
    </row>
    <row r="43" spans="3:11" ht="42.75" customHeight="1">
      <c r="C43" s="23" t="s">
        <v>91</v>
      </c>
      <c r="D43" s="25" t="s">
        <v>69</v>
      </c>
      <c r="G43" s="36">
        <f>G27*G38*(1-G32)</f>
        <v>1674000</v>
      </c>
      <c r="H43" s="36">
        <f>(H25+(H31*'Parametros a actualizar'!$C$34))*H38*(1-H32)</f>
        <v>1436626.0544024517</v>
      </c>
      <c r="I43" s="36">
        <f>I27*I38*(1-I32)</f>
        <v>1742372.0295776988</v>
      </c>
      <c r="J43" s="36">
        <f>J27*J38*(1-J32)</f>
        <v>1815344.4696152986</v>
      </c>
      <c r="K43" s="36">
        <f>K27*K38*(1-K32)</f>
        <v>2004106.731215131</v>
      </c>
    </row>
    <row r="44" spans="3:11">
      <c r="C44" s="23" t="s">
        <v>92</v>
      </c>
      <c r="D44" s="25" t="s">
        <v>82</v>
      </c>
      <c r="G44" s="29">
        <f>'Parametros a actualizar'!$C$30</f>
        <v>7.0000000000000007E-2</v>
      </c>
      <c r="H44" s="29">
        <f>'Parametros a actualizar'!$C$30</f>
        <v>7.0000000000000007E-2</v>
      </c>
      <c r="I44" s="29">
        <f>'Parametros a actualizar'!$C$30</f>
        <v>7.0000000000000007E-2</v>
      </c>
      <c r="J44" s="29">
        <f>'Parametros a actualizar'!$C$30</f>
        <v>7.0000000000000007E-2</v>
      </c>
      <c r="K44" s="29">
        <f>'Parametros a actualizar'!$C$30</f>
        <v>7.0000000000000007E-2</v>
      </c>
    </row>
    <row r="45" spans="3:11">
      <c r="C45" s="22" t="s">
        <v>93</v>
      </c>
      <c r="D45" s="25" t="s">
        <v>69</v>
      </c>
      <c r="G45" s="16">
        <f>G43*(1-G44)</f>
        <v>1556820</v>
      </c>
      <c r="H45" s="16">
        <f>H43*(1-H44)</f>
        <v>1336062.2305942799</v>
      </c>
      <c r="I45" s="16">
        <f>I43*(1-I44)</f>
        <v>1620405.9875072597</v>
      </c>
      <c r="J45" s="16">
        <f>J43*(1-J44)</f>
        <v>1688270.3567422275</v>
      </c>
      <c r="K45" s="16">
        <f>K43*(1-K44)</f>
        <v>1863819.2600300717</v>
      </c>
    </row>
    <row r="47" spans="3:11" ht="15" customHeight="1">
      <c r="C47" s="4" t="s">
        <v>94</v>
      </c>
      <c r="D47" s="4"/>
      <c r="E47" s="4"/>
      <c r="F47" s="4"/>
      <c r="G47" s="4"/>
      <c r="H47" s="4"/>
      <c r="I47" s="4"/>
      <c r="J47" s="4"/>
      <c r="K47" s="4"/>
    </row>
    <row r="48" spans="3:11">
      <c r="C48" s="23" t="s">
        <v>95</v>
      </c>
      <c r="D48" s="25" t="s">
        <v>69</v>
      </c>
      <c r="G48" s="37">
        <f>G31*G104</f>
        <v>0</v>
      </c>
      <c r="H48" s="37">
        <f>H31*H104</f>
        <v>0</v>
      </c>
      <c r="I48" s="37">
        <f>I31*I104</f>
        <v>290000</v>
      </c>
      <c r="J48" s="37">
        <f>J31*J104</f>
        <v>165000</v>
      </c>
      <c r="K48" s="37">
        <f>K31*K104</f>
        <v>345000</v>
      </c>
    </row>
    <row r="49" spans="3:11">
      <c r="C49" s="23" t="s">
        <v>96</v>
      </c>
      <c r="D49" s="25" t="s">
        <v>69</v>
      </c>
      <c r="E49" s="38">
        <v>0.02</v>
      </c>
      <c r="G49" s="36">
        <f>$E$9*$E$49</f>
        <v>143.21407270233348</v>
      </c>
      <c r="H49" s="36">
        <f>$E$9*$E$49</f>
        <v>143.21407270233348</v>
      </c>
      <c r="I49" s="36">
        <f>$E$9*$E$49</f>
        <v>143.21407270233348</v>
      </c>
      <c r="J49" s="36">
        <f>$E$9*$E$49</f>
        <v>143.21407270233348</v>
      </c>
      <c r="K49" s="36">
        <f>$E$9*$E$49</f>
        <v>143.21407270233348</v>
      </c>
    </row>
    <row r="50" spans="3:11" ht="28.5" customHeight="1">
      <c r="C50" s="23" t="s">
        <v>97</v>
      </c>
      <c r="D50" s="25" t="s">
        <v>69</v>
      </c>
      <c r="G50" s="13">
        <v>0</v>
      </c>
      <c r="H50" s="13">
        <v>0</v>
      </c>
      <c r="I50" s="13">
        <v>25000</v>
      </c>
      <c r="J50" s="13">
        <v>15000</v>
      </c>
      <c r="K50" s="13">
        <v>20000</v>
      </c>
    </row>
    <row r="51" spans="3:11">
      <c r="C51" s="22" t="s">
        <v>98</v>
      </c>
      <c r="D51" s="25" t="s">
        <v>69</v>
      </c>
      <c r="G51" s="16">
        <f>SUM(G48:G50)</f>
        <v>143.21407270233348</v>
      </c>
      <c r="H51" s="16">
        <f>SUM(H48:H50)</f>
        <v>143.21407270233348</v>
      </c>
      <c r="I51" s="16">
        <f>SUM(I48:I50)</f>
        <v>315143.21407270234</v>
      </c>
      <c r="J51" s="16">
        <f>SUM(J48:J50)</f>
        <v>180143.21407270234</v>
      </c>
      <c r="K51" s="16">
        <f>SUM(K48:K50)</f>
        <v>365143.21407270234</v>
      </c>
    </row>
    <row r="53" spans="3:11">
      <c r="C53" s="1" t="s">
        <v>99</v>
      </c>
      <c r="D53" s="1"/>
      <c r="E53" s="1"/>
      <c r="F53" s="1"/>
      <c r="G53" s="1"/>
      <c r="H53" s="1"/>
      <c r="I53" s="1"/>
      <c r="J53" s="1"/>
      <c r="K53" s="1"/>
    </row>
    <row r="55" spans="3:11" ht="15" customHeight="1">
      <c r="C55" s="4" t="s">
        <v>100</v>
      </c>
      <c r="D55" s="4"/>
      <c r="E55" s="4"/>
      <c r="F55" s="4"/>
      <c r="G55" s="4"/>
      <c r="H55" s="4"/>
      <c r="I55" s="4"/>
      <c r="J55" s="4"/>
      <c r="K55" s="4"/>
    </row>
    <row r="56" spans="3:11">
      <c r="C56" s="22" t="s">
        <v>101</v>
      </c>
      <c r="D56" s="25" t="s">
        <v>69</v>
      </c>
      <c r="G56" s="16">
        <f>G45-G51-$E$20</f>
        <v>203303.79889024631</v>
      </c>
      <c r="H56" s="16">
        <f>H45-H51-$E$20</f>
        <v>-17453.970515473746</v>
      </c>
      <c r="I56" s="16">
        <f>I45-I51-$E$20</f>
        <v>-48110.213602493983</v>
      </c>
      <c r="J56" s="16">
        <f>J45-J51-$E$20</f>
        <v>154754.15563247353</v>
      </c>
      <c r="K56" s="16">
        <f>K45-K51-$E$20</f>
        <v>145303.0589203178</v>
      </c>
    </row>
    <row r="57" spans="3:11" ht="28.5" customHeight="1">
      <c r="C57" s="23" t="s">
        <v>102</v>
      </c>
      <c r="D57" s="25" t="s">
        <v>69</v>
      </c>
      <c r="G57" s="36">
        <f>$E$20+(G51*0.5)</f>
        <v>1353444.5940734027</v>
      </c>
      <c r="H57" s="36">
        <f>$E$20+(H51*0.5)</f>
        <v>1353444.5940734027</v>
      </c>
      <c r="I57" s="36">
        <f>$E$20+(I51*0.5)</f>
        <v>1510944.5940734027</v>
      </c>
      <c r="J57" s="36">
        <f>$E$20+(J51*0.5)</f>
        <v>1443444.5940734027</v>
      </c>
      <c r="K57" s="36">
        <f>$E$20+(K51*0.5)</f>
        <v>1535944.5940734027</v>
      </c>
    </row>
    <row r="59" spans="3:11" ht="15" customHeight="1">
      <c r="C59" s="4" t="s">
        <v>103</v>
      </c>
      <c r="D59" s="4"/>
      <c r="E59" s="4"/>
      <c r="F59" s="4"/>
      <c r="G59" s="4"/>
      <c r="H59" s="4"/>
      <c r="I59" s="4"/>
      <c r="J59" s="4"/>
      <c r="K59" s="4"/>
    </row>
    <row r="60" spans="3:11">
      <c r="C60" s="23" t="s">
        <v>104</v>
      </c>
      <c r="D60" s="25" t="s">
        <v>105</v>
      </c>
      <c r="G60" s="28">
        <f>G56/'Parametros a actualizar'!$C$14</f>
        <v>134.19392666022858</v>
      </c>
      <c r="H60" s="28">
        <f>H56/'Parametros a actualizar'!$C$14</f>
        <v>-11.520772617474419</v>
      </c>
      <c r="I60" s="28">
        <f>I56/'Parametros a actualizar'!$C$14</f>
        <v>-31.755916569302958</v>
      </c>
      <c r="J60" s="28">
        <f>J56/'Parametros a actualizar'!$C$14</f>
        <v>102.14795751318384</v>
      </c>
      <c r="K60" s="28">
        <f>K56/'Parametros a actualizar'!$C$14</f>
        <v>95.909609848394581</v>
      </c>
    </row>
    <row r="62" spans="3:11" ht="15" customHeight="1">
      <c r="C62" s="4" t="s">
        <v>106</v>
      </c>
      <c r="D62" s="4"/>
      <c r="E62" s="4"/>
      <c r="F62" s="4"/>
      <c r="G62" s="4"/>
      <c r="H62" s="4"/>
      <c r="I62" s="4"/>
      <c r="J62" s="4"/>
      <c r="K62" s="4"/>
    </row>
    <row r="63" spans="3:11">
      <c r="C63" s="23" t="s">
        <v>107</v>
      </c>
      <c r="D63" s="25" t="s">
        <v>87</v>
      </c>
      <c r="G63" s="14">
        <f>G37</f>
        <v>0</v>
      </c>
      <c r="H63" s="14">
        <f>H37</f>
        <v>5.0333333333333332</v>
      </c>
      <c r="I63" s="14">
        <f>I37</f>
        <v>4.0999999999999996</v>
      </c>
      <c r="J63" s="14">
        <f>J37</f>
        <v>5.0333333333333332</v>
      </c>
      <c r="K63" s="14">
        <f>K37</f>
        <v>7.0666666666666664</v>
      </c>
    </row>
    <row r="64" spans="3:11" ht="28.5" customHeight="1">
      <c r="C64" s="23" t="s">
        <v>108</v>
      </c>
      <c r="D64" s="25" t="s">
        <v>69</v>
      </c>
      <c r="G64" s="36">
        <f>G57*'Parametros a actualizar'!$C$10*G63/12</f>
        <v>0</v>
      </c>
      <c r="H64" s="36">
        <f>H57*'Parametros a actualizar'!$C$10*H63/12</f>
        <v>141923.70396186374</v>
      </c>
      <c r="I64" s="36">
        <f>I57*'Parametros a actualizar'!$C$10*I63/12</f>
        <v>129059.8507437698</v>
      </c>
      <c r="J64" s="36">
        <f>J57*'Parametros a actualizar'!$C$10*J63/12</f>
        <v>151361.20396186374</v>
      </c>
      <c r="K64" s="36">
        <f>K57*'Parametros a actualizar'!$C$10*K63/12</f>
        <v>226125.17634969539</v>
      </c>
    </row>
    <row r="65" spans="3:11">
      <c r="C65" s="22" t="s">
        <v>109</v>
      </c>
      <c r="D65" s="25" t="s">
        <v>69</v>
      </c>
      <c r="G65" s="16">
        <f>G56-G64</f>
        <v>203303.79889024631</v>
      </c>
      <c r="H65" s="16">
        <f>H56-H64</f>
        <v>-159377.67447733748</v>
      </c>
      <c r="I65" s="16">
        <f>I56-I64</f>
        <v>-177170.06434626377</v>
      </c>
      <c r="J65" s="16">
        <f>J56-J64</f>
        <v>3392.9516706097929</v>
      </c>
      <c r="K65" s="16">
        <f>K56-K64</f>
        <v>-80822.117429377598</v>
      </c>
    </row>
    <row r="67" spans="3:11" ht="15" customHeight="1">
      <c r="C67" s="4" t="s">
        <v>110</v>
      </c>
      <c r="D67" s="4"/>
      <c r="E67" s="4"/>
      <c r="F67" s="4"/>
      <c r="G67" s="4"/>
      <c r="H67" s="4"/>
      <c r="I67" s="4"/>
      <c r="J67" s="4"/>
      <c r="K67" s="4"/>
    </row>
    <row r="68" spans="3:11" ht="28.5" customHeight="1">
      <c r="C68" s="23" t="s">
        <v>111</v>
      </c>
      <c r="D68" s="25" t="s">
        <v>69</v>
      </c>
      <c r="G68" s="36">
        <f>$E$20</f>
        <v>1353372.9870370515</v>
      </c>
      <c r="H68" s="36">
        <f>$E$20</f>
        <v>1353372.9870370515</v>
      </c>
      <c r="I68" s="36">
        <f>$E$20</f>
        <v>1353372.9870370515</v>
      </c>
      <c r="J68" s="36">
        <f>$E$20</f>
        <v>1353372.9870370515</v>
      </c>
      <c r="K68" s="36">
        <f>$E$20</f>
        <v>1353372.9870370515</v>
      </c>
    </row>
    <row r="69" spans="3:11" ht="28.5" customHeight="1">
      <c r="C69" s="23" t="s">
        <v>112</v>
      </c>
      <c r="D69" s="25" t="s">
        <v>69</v>
      </c>
      <c r="G69" s="36">
        <f>G68*(1+'Parametros a actualizar'!$C$8)^(G63/12)</f>
        <v>1353372.9870370515</v>
      </c>
      <c r="H69" s="36">
        <f>H68*(1+'Parametros a actualizar'!$C$8)^(H63/12)</f>
        <v>1455811.8733293316</v>
      </c>
      <c r="I69" s="36">
        <f>I68*(1+'Parametros a actualizar'!$C$8)^(I63/12)</f>
        <v>1436247.8193465066</v>
      </c>
      <c r="J69" s="36">
        <f>J68*(1+'Parametros a actualizar'!$C$8)^(J63/12)</f>
        <v>1455811.8733293316</v>
      </c>
      <c r="K69" s="36">
        <f>K68*(1+'Parametros a actualizar'!$C$8)^(K63/12)</f>
        <v>1499361.206445005</v>
      </c>
    </row>
    <row r="70" spans="3:11">
      <c r="C70" s="23" t="s">
        <v>113</v>
      </c>
      <c r="D70" s="25" t="s">
        <v>69</v>
      </c>
      <c r="G70" s="36">
        <f>G69-G68</f>
        <v>0</v>
      </c>
      <c r="H70" s="36">
        <f>H69-H68</f>
        <v>102438.88629228016</v>
      </c>
      <c r="I70" s="36">
        <f>I69-I68</f>
        <v>82874.832309455145</v>
      </c>
      <c r="J70" s="36">
        <f>J69-J68</f>
        <v>102438.88629228016</v>
      </c>
      <c r="K70" s="36">
        <f>K69-K68</f>
        <v>145988.21940795355</v>
      </c>
    </row>
    <row r="71" spans="3:11" ht="28.5" customHeight="1">
      <c r="C71" s="22" t="s">
        <v>114</v>
      </c>
      <c r="D71" s="25" t="s">
        <v>69</v>
      </c>
      <c r="G71" s="16">
        <f>G65-G70</f>
        <v>203303.79889024631</v>
      </c>
      <c r="H71" s="16">
        <f>H65-H70</f>
        <v>-261816.56076961764</v>
      </c>
      <c r="I71" s="16">
        <f>I65-I70</f>
        <v>-260044.89665571891</v>
      </c>
      <c r="J71" s="16">
        <f>J65-J70</f>
        <v>-99045.934621670371</v>
      </c>
      <c r="K71" s="16">
        <f>K65-K70</f>
        <v>-226810.33683733115</v>
      </c>
    </row>
    <row r="72" spans="3:11">
      <c r="C72" s="22" t="s">
        <v>115</v>
      </c>
      <c r="D72" s="25" t="s">
        <v>82</v>
      </c>
      <c r="G72" s="39" t="str">
        <f>IFERROR(G71/G70,"")</f>
        <v/>
      </c>
      <c r="H72" s="39">
        <f>IFERROR(H71/H70,"")</f>
        <v>-2.5558317768371546</v>
      </c>
      <c r="I72" s="39">
        <f>IFERROR(I71/I70,"")</f>
        <v>-3.1378029904749565</v>
      </c>
      <c r="J72" s="39">
        <f>IFERROR(J71/J70,"")</f>
        <v>-0.96687828427840405</v>
      </c>
      <c r="K72" s="39">
        <f>IFERROR(K71/K70,"")</f>
        <v>-1.5536208178793249</v>
      </c>
    </row>
    <row r="74" spans="3:11" ht="15" customHeight="1">
      <c r="C74" s="4" t="s">
        <v>116</v>
      </c>
      <c r="D74" s="4"/>
      <c r="E74" s="4"/>
      <c r="F74" s="4"/>
      <c r="G74" s="4"/>
      <c r="H74" s="4"/>
      <c r="I74" s="4"/>
      <c r="J74" s="4"/>
      <c r="K74" s="4"/>
    </row>
    <row r="75" spans="3:11">
      <c r="C75" s="23" t="s">
        <v>117</v>
      </c>
      <c r="D75" s="25" t="s">
        <v>56</v>
      </c>
      <c r="G75" s="36">
        <f>(G51+G64+$E$20)/(G27*(1-G44)*(1-G32))</f>
        <v>5390.3472764227545</v>
      </c>
      <c r="H75" s="36">
        <f>(H51+H64+$E$20)/(H27*(1-H44)*(1-H32))</f>
        <v>3733.8903934203431</v>
      </c>
      <c r="I75" s="36">
        <f>(I51+I64+$E$20)/(I27*(1-I44)*(1-I32))</f>
        <v>4752.5878414342651</v>
      </c>
      <c r="J75" s="36">
        <f>(J51+J64+$E$20)/(J27*(1-J44)*(1-J32))</f>
        <v>4206.8875757241622</v>
      </c>
      <c r="K75" s="36">
        <f>(K51+K64+$E$20)/(K27*(1-K44)*(1-K32))</f>
        <v>4245.7101194464267</v>
      </c>
    </row>
    <row r="76" spans="3:11" ht="28.5" customHeight="1">
      <c r="C76" s="23" t="s">
        <v>118</v>
      </c>
      <c r="D76" s="25" t="s">
        <v>65</v>
      </c>
      <c r="G76" s="36">
        <f>(G51+G64+$E$20)/(G38*(1-G44)*(1-G32))-G25</f>
        <v>-35.259070220299407</v>
      </c>
      <c r="H76" s="36">
        <f>(H51+H64+$E$20)/(H38*(1-H44)*(1-H32))-H25</f>
        <v>115.3152761394349</v>
      </c>
      <c r="I76" s="36">
        <f>(I51+I64+$E$20)/(I38*(1-I44)*(1-I32))-I25</f>
        <v>190.37478710308091</v>
      </c>
      <c r="J76" s="36">
        <f>(J51+J64+$E$20)/(J38*(1-J44)*(1-J32))-J25</f>
        <v>164.12577155026088</v>
      </c>
      <c r="K76" s="36">
        <f>(K51+K64+$E$20)/(K38*(1-K44)*(1-K32))-K25</f>
        <v>251.68185487794392</v>
      </c>
    </row>
    <row r="77" spans="3:11">
      <c r="C77" s="1" t="s">
        <v>119</v>
      </c>
      <c r="D77" s="1"/>
      <c r="E77" s="1"/>
      <c r="F77" s="1"/>
      <c r="G77" s="1"/>
      <c r="H77" s="1"/>
      <c r="I77" s="1"/>
      <c r="J77" s="1"/>
      <c r="K77" s="1"/>
    </row>
    <row r="78" spans="3:11" ht="15" customHeight="1">
      <c r="C78" s="4" t="s">
        <v>120</v>
      </c>
      <c r="D78" s="4"/>
      <c r="E78" s="4"/>
      <c r="F78" s="4"/>
      <c r="G78" s="4"/>
      <c r="H78" s="4"/>
      <c r="I78" s="4"/>
      <c r="J78" s="4"/>
      <c r="K78" s="4"/>
    </row>
    <row r="79" spans="3:11" ht="28.5" customHeight="1">
      <c r="C79" s="23" t="s">
        <v>121</v>
      </c>
      <c r="D79" s="25" t="s">
        <v>87</v>
      </c>
      <c r="G79" s="40">
        <f>G37-$G$37</f>
        <v>0</v>
      </c>
      <c r="H79" s="40">
        <f>H37-$G$37</f>
        <v>5.0333333333333332</v>
      </c>
      <c r="I79" s="40">
        <f>I37-$G$37</f>
        <v>4.0999999999999996</v>
      </c>
      <c r="J79" s="40">
        <f>J37-$G$37</f>
        <v>5.0333333333333332</v>
      </c>
      <c r="K79" s="40">
        <f>K37-$G$37</f>
        <v>7.0666666666666664</v>
      </c>
    </row>
    <row r="80" spans="3:11" ht="28.5" customHeight="1">
      <c r="C80" s="23" t="s">
        <v>122</v>
      </c>
      <c r="D80" s="25" t="s">
        <v>69</v>
      </c>
      <c r="G80" s="41">
        <f>G64-$G$64</f>
        <v>0</v>
      </c>
      <c r="H80" s="41">
        <f>H64-$G$64</f>
        <v>141923.70396186374</v>
      </c>
      <c r="I80" s="41">
        <f>I64-$G$64</f>
        <v>129059.8507437698</v>
      </c>
      <c r="J80" s="41">
        <f>J64-$G$64</f>
        <v>151361.20396186374</v>
      </c>
      <c r="K80" s="41">
        <f>K64-$G$64</f>
        <v>226125.17634969539</v>
      </c>
    </row>
    <row r="81" spans="3:11" ht="28.5" customHeight="1">
      <c r="C81" s="23" t="s">
        <v>123</v>
      </c>
      <c r="D81" s="25" t="s">
        <v>69</v>
      </c>
      <c r="G81" s="41">
        <f>G70-$G$70</f>
        <v>0</v>
      </c>
      <c r="H81" s="41">
        <f>H70-$G$70</f>
        <v>102438.88629228016</v>
      </c>
      <c r="I81" s="41">
        <f>I70-$G$70</f>
        <v>82874.832309455145</v>
      </c>
      <c r="J81" s="41">
        <f>J70-$G$70</f>
        <v>102438.88629228016</v>
      </c>
      <c r="K81" s="41">
        <f>K70-$G$70</f>
        <v>145988.21940795355</v>
      </c>
    </row>
    <row r="83" spans="3:11" ht="15" customHeight="1">
      <c r="C83" s="4" t="s">
        <v>124</v>
      </c>
      <c r="D83" s="4"/>
      <c r="E83" s="4"/>
      <c r="F83" s="4"/>
      <c r="G83" s="4"/>
      <c r="H83" s="4"/>
      <c r="I83" s="4"/>
      <c r="J83" s="4"/>
      <c r="K83" s="4"/>
    </row>
    <row r="84" spans="3:11">
      <c r="G84" s="19">
        <v>1</v>
      </c>
      <c r="H84" s="19">
        <v>2</v>
      </c>
      <c r="I84" s="19">
        <v>3</v>
      </c>
      <c r="J84" s="19">
        <v>4</v>
      </c>
      <c r="K84" s="19">
        <v>5</v>
      </c>
    </row>
    <row r="85" spans="3:11" ht="28.5" customHeight="1">
      <c r="C85" s="42" t="s">
        <v>125</v>
      </c>
      <c r="G85" s="20" t="s">
        <v>40</v>
      </c>
      <c r="H85" s="20" t="s">
        <v>41</v>
      </c>
      <c r="I85" s="20" t="s">
        <v>42</v>
      </c>
      <c r="J85" s="20" t="s">
        <v>43</v>
      </c>
      <c r="K85" s="20" t="s">
        <v>44</v>
      </c>
    </row>
    <row r="86" spans="3:11">
      <c r="C86" s="43" t="s">
        <v>126</v>
      </c>
      <c r="G86" s="44">
        <f t="shared" ref="G86:K87" si="0">G29</f>
        <v>46296</v>
      </c>
      <c r="H86" s="44">
        <f t="shared" si="0"/>
        <v>46447</v>
      </c>
      <c r="I86" s="44">
        <f t="shared" si="0"/>
        <v>46419</v>
      </c>
      <c r="J86" s="44">
        <f t="shared" si="0"/>
        <v>46447</v>
      </c>
      <c r="K86" s="44">
        <f t="shared" si="0"/>
        <v>46508</v>
      </c>
    </row>
    <row r="87" spans="3:11">
      <c r="C87" s="43" t="s">
        <v>127</v>
      </c>
      <c r="G87" s="45">
        <f t="shared" si="0"/>
        <v>0</v>
      </c>
      <c r="H87" s="45">
        <f t="shared" si="0"/>
        <v>151</v>
      </c>
      <c r="I87" s="45">
        <f t="shared" si="0"/>
        <v>123</v>
      </c>
      <c r="J87" s="45">
        <f t="shared" si="0"/>
        <v>151</v>
      </c>
      <c r="K87" s="45">
        <f t="shared" si="0"/>
        <v>212</v>
      </c>
    </row>
    <row r="88" spans="3:11">
      <c r="C88" s="43" t="s">
        <v>128</v>
      </c>
      <c r="G88" s="45">
        <f>G27</f>
        <v>270</v>
      </c>
      <c r="H88" s="45">
        <f>H27</f>
        <v>435</v>
      </c>
      <c r="I88" s="45">
        <f>I27</f>
        <v>415</v>
      </c>
      <c r="J88" s="45">
        <f>J27</f>
        <v>435</v>
      </c>
      <c r="K88" s="45">
        <f>K27</f>
        <v>500</v>
      </c>
    </row>
    <row r="89" spans="3:11">
      <c r="C89" s="43" t="s">
        <v>129</v>
      </c>
      <c r="G89" s="46">
        <f>G56</f>
        <v>203303.79889024631</v>
      </c>
      <c r="H89" s="46">
        <f>H56</f>
        <v>-17453.970515473746</v>
      </c>
      <c r="I89" s="46">
        <f>I56</f>
        <v>-48110.213602493983</v>
      </c>
      <c r="J89" s="46">
        <f>J56</f>
        <v>154754.15563247353</v>
      </c>
      <c r="K89" s="46">
        <f>K56</f>
        <v>145303.0589203178</v>
      </c>
    </row>
    <row r="90" spans="3:11">
      <c r="C90" s="43" t="s">
        <v>130</v>
      </c>
      <c r="G90" s="46">
        <f>G60</f>
        <v>134.19392666022858</v>
      </c>
      <c r="H90" s="46">
        <f>H60</f>
        <v>-11.520772617474419</v>
      </c>
      <c r="I90" s="46">
        <f>I60</f>
        <v>-31.755916569302958</v>
      </c>
      <c r="J90" s="46">
        <f>J60</f>
        <v>102.14795751318384</v>
      </c>
      <c r="K90" s="46">
        <f>K60</f>
        <v>95.909609848394581</v>
      </c>
    </row>
    <row r="91" spans="3:11">
      <c r="C91" s="43" t="s">
        <v>131</v>
      </c>
      <c r="G91" s="46">
        <f>G65</f>
        <v>203303.79889024631</v>
      </c>
      <c r="H91" s="46">
        <f>H65</f>
        <v>-159377.67447733748</v>
      </c>
      <c r="I91" s="46">
        <f>I65</f>
        <v>-177170.06434626377</v>
      </c>
      <c r="J91" s="46">
        <f>J65</f>
        <v>3392.9516706097929</v>
      </c>
      <c r="K91" s="46">
        <f>K65</f>
        <v>-80822.117429377598</v>
      </c>
    </row>
    <row r="92" spans="3:11">
      <c r="C92" s="43" t="s">
        <v>132</v>
      </c>
      <c r="G92" s="46">
        <f t="shared" ref="G92:K93" si="1">G71</f>
        <v>203303.79889024631</v>
      </c>
      <c r="H92" s="46">
        <f t="shared" si="1"/>
        <v>-261816.56076961764</v>
      </c>
      <c r="I92" s="46">
        <f t="shared" si="1"/>
        <v>-260044.89665571891</v>
      </c>
      <c r="J92" s="46">
        <f t="shared" si="1"/>
        <v>-99045.934621670371</v>
      </c>
      <c r="K92" s="46">
        <f t="shared" si="1"/>
        <v>-226810.33683733115</v>
      </c>
    </row>
    <row r="93" spans="3:11">
      <c r="C93" s="43" t="s">
        <v>133</v>
      </c>
      <c r="G93" s="47" t="str">
        <f t="shared" si="1"/>
        <v/>
      </c>
      <c r="H93" s="47">
        <f t="shared" si="1"/>
        <v>-2.5558317768371546</v>
      </c>
      <c r="I93" s="47">
        <f t="shared" si="1"/>
        <v>-3.1378029904749565</v>
      </c>
      <c r="J93" s="47">
        <f t="shared" si="1"/>
        <v>-0.96687828427840405</v>
      </c>
      <c r="K93" s="47">
        <f t="shared" si="1"/>
        <v>-1.5536208178793249</v>
      </c>
    </row>
    <row r="94" spans="3:11">
      <c r="C94" s="43" t="s">
        <v>134</v>
      </c>
      <c r="G94" s="46">
        <f>G75</f>
        <v>5390.3472764227545</v>
      </c>
      <c r="H94" s="46">
        <f>H75</f>
        <v>3733.8903934203431</v>
      </c>
      <c r="I94" s="46">
        <f>I75</f>
        <v>4752.5878414342651</v>
      </c>
      <c r="J94" s="46">
        <f>J75</f>
        <v>4206.8875757241622</v>
      </c>
      <c r="K94" s="46">
        <f>K75</f>
        <v>4245.7101194464267</v>
      </c>
    </row>
    <row r="96" spans="3:11">
      <c r="C96" s="1" t="s">
        <v>135</v>
      </c>
      <c r="D96" s="1"/>
      <c r="E96" s="1"/>
      <c r="F96" s="1"/>
      <c r="G96" s="1"/>
      <c r="H96" s="1"/>
      <c r="I96" s="1"/>
      <c r="J96" s="1"/>
      <c r="K96" s="1"/>
    </row>
    <row r="98" spans="3:11">
      <c r="C98" s="48" t="s">
        <v>136</v>
      </c>
    </row>
    <row r="99" spans="3:11" ht="24" customHeight="1">
      <c r="C99" s="49" t="s">
        <v>137</v>
      </c>
    </row>
    <row r="100" spans="3:11" ht="24" customHeight="1">
      <c r="C100" s="50" t="s">
        <v>138</v>
      </c>
    </row>
    <row r="103" spans="3:11" ht="15" customHeight="1">
      <c r="C103" s="4" t="s">
        <v>139</v>
      </c>
      <c r="D103" s="4"/>
      <c r="E103" s="4"/>
      <c r="F103" s="4"/>
      <c r="G103" s="4"/>
      <c r="H103" s="4"/>
      <c r="I103" s="4"/>
      <c r="J103" s="4"/>
      <c r="K103" s="4"/>
    </row>
    <row r="104" spans="3:11" ht="28.5" customHeight="1">
      <c r="C104" s="23" t="s">
        <v>140</v>
      </c>
      <c r="G104" s="13">
        <v>0</v>
      </c>
      <c r="H104" s="13">
        <v>0</v>
      </c>
      <c r="I104" s="13">
        <v>2000</v>
      </c>
      <c r="J104" s="13">
        <v>1000</v>
      </c>
      <c r="K104" s="13">
        <v>1500</v>
      </c>
    </row>
    <row r="105" spans="3:11" ht="64.5" customHeight="1">
      <c r="G105" s="21" t="s">
        <v>141</v>
      </c>
      <c r="H105" s="21" t="s">
        <v>142</v>
      </c>
      <c r="I105" s="21" t="s">
        <v>143</v>
      </c>
      <c r="J105" s="21" t="s">
        <v>144</v>
      </c>
      <c r="K105" s="21" t="s">
        <v>145</v>
      </c>
    </row>
  </sheetData>
  <mergeCells count="18">
    <mergeCell ref="C83:K83"/>
    <mergeCell ref="C96:K96"/>
    <mergeCell ref="C103:K103"/>
    <mergeCell ref="C62:K62"/>
    <mergeCell ref="C67:K67"/>
    <mergeCell ref="C74:K74"/>
    <mergeCell ref="C77:K77"/>
    <mergeCell ref="C78:K78"/>
    <mergeCell ref="C42:K42"/>
    <mergeCell ref="C47:K47"/>
    <mergeCell ref="C53:K53"/>
    <mergeCell ref="C55:K55"/>
    <mergeCell ref="C59:K59"/>
    <mergeCell ref="C2:K2"/>
    <mergeCell ref="C4:E4"/>
    <mergeCell ref="C24:K24"/>
    <mergeCell ref="C34:K34"/>
    <mergeCell ref="C40:K4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Parametros a actualizar</vt:lpstr>
      <vt:lpstr>Modelos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Patricia Acetta</cp:lastModifiedBy>
  <cp:revision>0</cp:revision>
  <dcterms:created xsi:type="dcterms:W3CDTF">2026-08-20T19:06:41Z</dcterms:created>
  <dcterms:modified xsi:type="dcterms:W3CDTF">2026-08-20T23:00:03Z</dcterms:modified>
  <dc:language>en-US</dc:language>
</cp:coreProperties>
</file>