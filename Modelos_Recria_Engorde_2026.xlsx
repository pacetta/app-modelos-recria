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19440" windowHeight="10320" tabRatio="500" firstSheet="0" activeTab="1" autoFilterDateGrouping="1"/>
  </bookViews>
  <sheets>
    <sheet name="Parametros a actualizar" sheetId="1" state="visible" r:id="rId1"/>
    <sheet name="Modelos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dd\-mmm\-yy"/>
  </numFmts>
  <fonts count="28">
    <font>
      <name val="Calibri"/>
      <charset val="1"/>
      <family val="2"/>
      <color theme="1"/>
      <sz val="11"/>
    </font>
    <font>
      <name val="Aptos"/>
      <charset val="1"/>
      <b val="1"/>
      <color rgb="FFFFFFFF"/>
      <sz val="16"/>
    </font>
    <font>
      <name val="Aptos"/>
      <charset val="1"/>
      <i val="1"/>
      <color rgb="FF666666"/>
      <sz val="10"/>
    </font>
    <font>
      <name val="Aptos"/>
      <charset val="1"/>
      <b val="1"/>
      <color rgb="FFFFFFFF"/>
      <sz val="12"/>
    </font>
    <font>
      <name val="Aptos"/>
      <charset val="1"/>
      <color rgb="FF000000"/>
      <sz val="11"/>
    </font>
    <font>
      <name val="Aptos"/>
      <charset val="1"/>
      <color rgb="FF0000FF"/>
      <sz val="11"/>
    </font>
    <font>
      <name val="Aptos"/>
      <charset val="1"/>
      <i val="1"/>
      <color rgb="FF666666"/>
      <sz val="9"/>
    </font>
    <font>
      <name val="Aptos"/>
      <charset val="1"/>
      <i val="1"/>
      <color rgb="FF0563C1"/>
      <sz val="8"/>
    </font>
    <font>
      <name val="Aptos"/>
      <charset val="1"/>
      <b val="1"/>
      <color rgb="FF000000"/>
      <sz val="11"/>
    </font>
    <font>
      <name val="Aptos"/>
      <charset val="1"/>
      <b val="1"/>
      <color rgb="FFFFFFFF"/>
      <sz val="18"/>
    </font>
    <font>
      <name val="Aptos"/>
      <charset val="1"/>
      <b val="1"/>
      <color rgb="FFFFFFFF"/>
      <sz val="11"/>
    </font>
    <font>
      <name val="Aptos"/>
      <charset val="1"/>
      <family val="2"/>
      <b val="1"/>
      <color rgb="FFFFFFFF"/>
      <sz val="11"/>
    </font>
    <font>
      <name val="Aptos"/>
      <charset val="1"/>
      <i val="1"/>
      <color rgb="FF666666"/>
      <sz val="8"/>
    </font>
    <font>
      <name val="Aptos"/>
      <charset val="1"/>
      <i val="1"/>
      <color rgb="FF777777"/>
      <sz val="9"/>
    </font>
    <font>
      <name val="Aptos"/>
      <charset val="1"/>
      <sz val="11"/>
    </font>
    <font>
      <name val="Aptos"/>
      <charset val="1"/>
      <color rgb="FF006100"/>
      <sz val="11"/>
    </font>
    <font>
      <name val="Aptos"/>
      <charset val="1"/>
      <i val="1"/>
      <color rgb="FF000000"/>
      <sz val="11"/>
    </font>
    <font>
      <name val="Calibri"/>
      <charset val="1"/>
      <family val="2"/>
      <color rgb="FF0070C0"/>
      <sz val="11"/>
    </font>
    <font>
      <name val="Aptos"/>
      <charset val="1"/>
      <b val="1"/>
      <sz val="10"/>
    </font>
    <font>
      <name val="Aptos"/>
      <charset val="1"/>
      <i val="1"/>
      <color rgb="FF000000"/>
      <sz val="9"/>
    </font>
    <font>
      <name val="Aptos"/>
      <charset val="1"/>
      <i val="1"/>
      <color rgb="FF006100"/>
      <sz val="9"/>
    </font>
    <font>
      <name val="Aptos"/>
      <family val="2"/>
      <i val="1"/>
      <color rgb="FFFF0000"/>
      <sz val="10"/>
    </font>
    <font>
      <name val="Aptos"/>
      <family val="2"/>
      <i val="1"/>
      <color rgb="FF666666"/>
      <sz val="9"/>
    </font>
    <font>
      <name val="Calibri"/>
      <charset val="1"/>
      <family val="2"/>
      <i val="1"/>
      <color rgb="FFFF0000"/>
      <sz val="8"/>
    </font>
    <font>
      <name val="Arial Unicode MS"/>
      <i val="1"/>
      <color rgb="FFFF0000"/>
      <sz val="8"/>
    </font>
    <font>
      <b val="1"/>
      <sz val="12"/>
    </font>
    <font>
      <color rgb="000000ff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FF2F5233"/>
        <bgColor rgb="FF333300"/>
      </patternFill>
    </fill>
    <fill>
      <patternFill patternType="solid">
        <fgColor rgb="FF4A7C59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EAF2EC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6" fillId="0" borderId="0" pivotButton="0" quotePrefix="0" xfId="0"/>
    <xf numFmtId="0" fontId="10" fillId="2" borderId="0" applyAlignment="1" pivotButton="0" quotePrefix="0" xfId="0">
      <alignment vertical="center" indent="1"/>
    </xf>
    <xf numFmtId="0" fontId="9" fillId="2" borderId="0" applyAlignment="1" pivotButton="0" quotePrefix="0" xfId="0">
      <alignment vertical="center" indent="1"/>
    </xf>
    <xf numFmtId="0" fontId="3" fillId="3" borderId="0" applyAlignment="1" pivotButton="0" quotePrefix="0" xfId="0">
      <alignment vertical="center" indent="1"/>
    </xf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4" fillId="0" borderId="0" pivotButton="0" quotePrefix="0" xfId="0"/>
    <xf numFmtId="164" fontId="5" fillId="4" borderId="1" applyAlignment="1" pivotButton="0" quotePrefix="0" xfId="0">
      <alignment horizontal="center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9" fontId="5" fillId="4" borderId="1" applyAlignment="1" pivotButton="0" quotePrefix="0" xfId="0">
      <alignment horizontal="center"/>
    </xf>
    <xf numFmtId="10" fontId="4" fillId="0" borderId="0" applyAlignment="1" pivotButton="0" quotePrefix="0" xfId="0">
      <alignment horizontal="center"/>
    </xf>
    <xf numFmtId="3" fontId="5" fillId="4" borderId="1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0" fontId="8" fillId="0" borderId="0" pivotButton="0" quotePrefix="0" xfId="0"/>
    <xf numFmtId="3" fontId="8" fillId="0" borderId="0" applyAlignment="1" pivotButton="0" quotePrefix="0" xfId="0">
      <alignment horizontal="center"/>
    </xf>
    <xf numFmtId="9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11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top" wrapText="1"/>
    </xf>
    <xf numFmtId="0" fontId="8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166" fontId="5" fillId="4" borderId="1" applyAlignment="1" pivotButton="0" quotePrefix="0" xfId="0">
      <alignment horizontal="center"/>
    </xf>
    <xf numFmtId="0" fontId="13" fillId="0" borderId="0" pivotButton="0" quotePrefix="0" xfId="0"/>
    <xf numFmtId="0" fontId="5" fillId="4" borderId="1" applyAlignment="1" pivotButton="0" quotePrefix="0" xfId="0">
      <alignment horizontal="center"/>
    </xf>
    <xf numFmtId="0" fontId="14" fillId="0" borderId="0" applyAlignment="1" pivotButton="0" quotePrefix="0" xfId="0">
      <alignment wrapText="1"/>
    </xf>
    <xf numFmtId="3" fontId="15" fillId="0" borderId="0" applyAlignment="1" pivotButton="0" quotePrefix="0" xfId="0">
      <alignment horizontal="center"/>
    </xf>
    <xf numFmtId="9" fontId="1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6" fillId="0" borderId="0" applyAlignment="1" pivotButton="0" quotePrefix="0" xfId="0">
      <alignment wrapText="1"/>
    </xf>
    <xf numFmtId="0" fontId="6" fillId="0" borderId="0" pivotButton="0" quotePrefix="0" xfId="0"/>
    <xf numFmtId="0" fontId="13" fillId="0" borderId="0" applyAlignment="1" pivotButton="0" quotePrefix="0" xfId="0">
      <alignment wrapText="1"/>
    </xf>
    <xf numFmtId="1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3" fontId="14" fillId="4" borderId="1" applyAlignment="1" pivotButton="0" quotePrefix="0" xfId="0">
      <alignment horizontal="center"/>
    </xf>
    <xf numFmtId="9" fontId="17" fillId="4" borderId="0" pivotButton="0" quotePrefix="0" xfId="0"/>
    <xf numFmtId="9" fontId="8" fillId="0" borderId="0" applyAlignment="1" pivotButton="0" quotePrefix="0" xfId="0">
      <alignment horizontal="center"/>
    </xf>
    <xf numFmtId="165" fontId="4" fillId="5" borderId="1" applyAlignment="1" pivotButton="0" quotePrefix="0" xfId="0">
      <alignment horizontal="center"/>
    </xf>
    <xf numFmtId="3" fontId="4" fillId="5" borderId="1" applyAlignment="1" pivotButton="0" quotePrefix="0" xfId="0">
      <alignment horizontal="center"/>
    </xf>
    <xf numFmtId="0" fontId="8" fillId="5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166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18" fillId="0" borderId="0" applyAlignment="1" pivotButton="0" quotePrefix="0" xfId="0">
      <alignment wrapText="1"/>
    </xf>
    <xf numFmtId="0" fontId="19" fillId="4" borderId="0" applyAlignment="1" pivotButton="0" quotePrefix="0" xfId="0">
      <alignment wrapText="1"/>
    </xf>
    <xf numFmtId="0" fontId="20" fillId="0" borderId="0" applyAlignment="1" pivotButton="0" quotePrefix="0" xfId="0">
      <alignment wrapText="1"/>
    </xf>
    <xf numFmtId="0" fontId="21" fillId="0" borderId="0" pivotButton="0" quotePrefix="0" xfId="0"/>
    <xf numFmtId="14" fontId="5" fillId="4" borderId="1" applyAlignment="1" pivotButton="0" quotePrefix="0" xfId="0">
      <alignment horizontal="center"/>
    </xf>
    <xf numFmtId="0" fontId="22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wrapText="1"/>
    </xf>
    <xf numFmtId="164" fontId="5" fillId="4" borderId="1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166" fontId="5" fillId="4" borderId="1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165" fontId="4" fillId="5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70C0"/>
      <rgbColor rgb="FFCCCCCC"/>
      <rgbColor rgb="FF777777"/>
      <rgbColor rgb="FF9999FF"/>
      <rgbColor rgb="FF993366"/>
      <rgbColor rgb="FFEAF2E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A7C59"/>
      <rgbColor rgb="FF003300"/>
      <rgbColor rgb="FF333300"/>
      <rgbColor rgb="FF993300"/>
      <rgbColor rgb="FF993366"/>
      <rgbColor rgb="FF333399"/>
      <rgbColor rgb="FF2F52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2"/>
  <sheetViews>
    <sheetView showGridLines="0" topLeftCell="A21" zoomScaleNormal="100" workbookViewId="0">
      <selection activeCell="C23" sqref="C23"/>
    </sheetView>
  </sheetViews>
  <sheetFormatPr baseColWidth="10" defaultColWidth="8.6640625" defaultRowHeight="14.4"/>
  <cols>
    <col width="2" customWidth="1" min="1" max="1"/>
    <col width="46.88671875" customWidth="1" min="2" max="2"/>
    <col width="16" customWidth="1" min="3" max="3"/>
    <col width="55" customWidth="1" min="4" max="4"/>
    <col width="48.21875" customWidth="1" min="5" max="5"/>
  </cols>
  <sheetData>
    <row r="2" ht="21" customHeight="1">
      <c r="B2" s="5" t="inlineStr">
        <is>
          <t>PARÁMETROS DE LA SEMANA — actualizar acá, no en las hojas de modelos</t>
        </is>
      </c>
    </row>
    <row r="3">
      <c r="B3" s="6" t="inlineStr">
        <is>
          <t>Fecha de actualización</t>
        </is>
      </c>
      <c r="C3" s="52" t="n">
        <v>46254</v>
      </c>
      <c r="D3" s="51" t="inlineStr">
        <is>
          <t>Sólo modificar los campos con texto azul</t>
        </is>
      </c>
    </row>
    <row r="5" ht="15.6" customHeight="1">
      <c r="B5" s="4" t="inlineStr">
        <is>
          <t>1. Macro y financiero</t>
        </is>
      </c>
    </row>
    <row r="7" ht="36" customHeight="1">
      <c r="B7" s="7" t="inlineStr">
        <is>
          <t>Inflación esperada mensual</t>
        </is>
      </c>
      <c r="C7" s="55" t="n">
        <v>0.0175</v>
      </c>
      <c r="D7" s="9" t="inlineStr">
        <is>
          <t>Fermín: promedio 1,7-1,8%. REM jul-26 (public. 6/8): mediana 2,0% mensual puntual. Próx. REM: 4/9. https://www.bcra.gob.ar/relevamiento-expectativas-mercado-rem/</t>
        </is>
      </c>
      <c r="E7" s="10" t="inlineStr">
        <is>
          <t xml:space="preserve"> https://www.bcra.gob.ar/relevamiento-expectativas-mercado-rem/</t>
        </is>
      </c>
    </row>
    <row r="8">
      <c r="B8" s="7" t="inlineStr">
        <is>
          <t>Tasa de plazo fijo (TNA)</t>
        </is>
      </c>
      <c r="C8" s="11" t="n">
        <v>0.19</v>
      </c>
      <c r="D8" s="9" t="inlineStr">
        <is>
          <t>Actualizar según tasa vigente al momento de correr el modelo.</t>
        </is>
      </c>
      <c r="E8" s="10" t="inlineStr">
        <is>
          <t>https://www.bcra.gob.ar/plazos-fijos-online/</t>
        </is>
      </c>
    </row>
    <row r="9">
      <c r="B9" s="7" t="inlineStr">
        <is>
          <t>Tasa efectiva mensual PF (referencia)</t>
        </is>
      </c>
      <c r="C9" s="12">
        <f>(1+C8)^(1/12)-1</f>
        <v/>
      </c>
      <c r="D9" s="9" t="inlineStr">
        <is>
          <t>Se calcula sola a partir de la TNA de arriba.</t>
        </is>
      </c>
    </row>
    <row r="10">
      <c r="B10" s="7" t="inlineStr">
        <is>
          <t>Tasa anual costo financiero (si hay que pedir plata)</t>
        </is>
      </c>
      <c r="C10" s="11" t="n">
        <v>0.25</v>
      </c>
      <c r="D10" s="9" t="inlineStr">
        <is>
          <t>Mismo dato que el archivo viejo (00 Sistemas de Engorde).</t>
        </is>
      </c>
    </row>
    <row r="12" ht="15.6" customHeight="1">
      <c r="B12" s="4" t="inlineStr">
        <is>
          <t>2. Dólar</t>
        </is>
      </c>
    </row>
    <row r="14">
      <c r="B14" s="7" t="inlineStr">
        <is>
          <t>Dólar hoy (inicio)</t>
        </is>
      </c>
      <c r="C14" s="13" t="n">
        <v>1515</v>
      </c>
      <c r="D14" s="9" t="inlineStr">
        <is>
          <t>Actualizar con cotización vigente.</t>
        </is>
      </c>
    </row>
    <row r="15">
      <c r="B15" s="7" t="inlineStr">
        <is>
          <t>Dólar proyectado dic-26 (REM, referencia)</t>
        </is>
      </c>
      <c r="C15" s="13" t="n">
        <v>1652</v>
      </c>
      <c r="D15" s="9" t="inlineStr">
        <is>
          <t>REM jul-26, mediana para dic-26 ($1.652/USD).</t>
        </is>
      </c>
      <c r="E15" s="10" t="inlineStr">
        <is>
          <t xml:space="preserve"> https://www.bcra.gob.ar/relevamiento-expectativas-mercado-rem/</t>
        </is>
      </c>
    </row>
    <row r="17" ht="15.6" customHeight="1">
      <c r="B17" s="4" t="inlineStr">
        <is>
          <t>3. Precios de hacienda — históricos y de mercado hoy</t>
        </is>
      </c>
    </row>
    <row r="18">
      <c r="B18" t="inlineStr">
        <is>
          <t>Fecha de compra</t>
        </is>
      </c>
      <c r="C18" s="52" t="n">
        <v>46113</v>
      </c>
    </row>
    <row r="19" ht="24" customHeight="1">
      <c r="B19" s="7" t="inlineStr">
        <is>
          <t>Ternero 180 kg — precio pagado en abril (histórico)</t>
        </is>
      </c>
      <c r="C19" s="13" t="n">
        <v>6600</v>
      </c>
      <c r="D19" s="9" t="inlineStr">
        <is>
          <t>Precio real pagado en abril-2026. Fuente: Entre Surcos y Corrales (invernada). NO es el precio de hoy — es el dato histórico de la compra.</t>
        </is>
      </c>
    </row>
    <row r="20" ht="24" customHeight="1">
      <c r="B20" s="7" t="inlineStr">
        <is>
          <t>Meses transcurridos desde la compra (abril → hoy)</t>
        </is>
      </c>
      <c r="C20" s="56">
        <f>(C3-C18)/30</f>
        <v/>
      </c>
      <c r="D20" s="9" t="inlineStr">
        <is>
          <t>Se calcula solo, a partir de la fecha de actualización de arriba y la fecha de compra (abril).</t>
        </is>
      </c>
    </row>
    <row r="21" ht="42" customHeight="1">
      <c r="B21" s="15" t="inlineStr">
        <is>
          <t>Ternero 180 kg — actualizado a pesos de hoy</t>
        </is>
      </c>
      <c r="C21" s="16">
        <f>C19*(1+C7)^C20</f>
        <v/>
      </c>
      <c r="D21" s="9" t="inlineStr">
        <is>
          <t>Precio de abril llevado a pesos de hoy con la inflación esperada mensual. Este es el valor que debe usar el modelo como costo de compra en términos reales — no el precio histórico sin actualizar.</t>
        </is>
      </c>
      <c r="E21" s="54" t="inlineStr">
        <is>
          <t>La fórmula =(1+TNA)^(1/12)-1 asume interés compuesto mensual. Un plazo fijo real a 30 días no capitaliza dentro del mes — es simple: TNA/12. La diferencia es chica a estos plazos, pero cuando lo uso para proyectar 5-7 meses hacia adelante (fila 69, =(1+TNA)^(meses/12)) sí importa</t>
        </is>
      </c>
    </row>
    <row r="22" ht="31.8" customHeight="1">
      <c r="E22" s="54" t="inlineStr">
        <is>
          <t>Al precio de compra lo llevo hacia adelante con inflación esperada (capitalizando). Al precio de venta futuro lo traigo hacia atrás con la misma tasa (descontando)</t>
        </is>
      </c>
    </row>
    <row r="23" ht="24" customHeight="1">
      <c r="B23" s="7" t="inlineStr">
        <is>
          <t>Novillito/recriado ~270 kg — precio de mercado HOY</t>
        </is>
      </c>
      <c r="C23" s="13" t="n">
        <v>6200</v>
      </c>
      <c r="D23" s="9" t="inlineStr">
        <is>
          <t>Entre Surcos y Corrales (invernada) — precio vigente de la semana. Ya está en pesos de hoy, no requiere actualización.</t>
        </is>
      </c>
    </row>
    <row r="24" ht="24" customHeight="1">
      <c r="B24" s="7" t="inlineStr">
        <is>
          <t>Novillo gordo 415-440 kg — precio de mercado HOY</t>
        </is>
      </c>
      <c r="C24" s="13" t="n">
        <v>4600</v>
      </c>
      <c r="D24" s="9" t="inlineStr">
        <is>
          <t>Mercado Agroganadero de Cañuelas (consumo/gordo) — precio vigente de la semana.</t>
        </is>
      </c>
    </row>
    <row r="25" ht="24" customHeight="1">
      <c r="B25" s="7" t="inlineStr">
        <is>
          <t>Novillo gordo exportación ~500 kg — precio de mercado HOY</t>
        </is>
      </c>
      <c r="C25" s="13" t="n">
        <v>4600</v>
      </c>
      <c r="D25" s="9" t="inlineStr">
        <is>
          <t>Mercado Agroganadero de Cañuelas, categoría exportación — precio vigente de la semana.</t>
        </is>
      </c>
    </row>
    <row r="27" ht="15.6" customHeight="1">
      <c r="B27" s="4" t="inlineStr">
        <is>
          <t>4. Gastos comerciales (%)</t>
        </is>
      </c>
    </row>
    <row r="29">
      <c r="B29" s="7" t="inlineStr">
        <is>
          <t>% Gastos comerciales — compra</t>
        </is>
      </c>
      <c r="C29" s="11" t="n">
        <v>0.05</v>
      </c>
    </row>
    <row r="30">
      <c r="B30" s="7" t="inlineStr">
        <is>
          <t>% Gastos comerciales — venta</t>
        </is>
      </c>
      <c r="C30" s="11" t="n">
        <v>0.07000000000000001</v>
      </c>
    </row>
    <row r="32" ht="15.6" customHeight="1">
      <c r="B32" s="4" t="inlineStr">
        <is>
          <t>5. Capitalización — sobre kg ganados</t>
        </is>
      </c>
    </row>
    <row r="34">
      <c r="B34" s="7" t="inlineStr">
        <is>
          <t>% para el dueño del animal</t>
        </is>
      </c>
      <c r="C34" s="11" t="n">
        <v>0.45</v>
      </c>
      <c r="D34" s="53" t="inlineStr">
        <is>
          <t>reparto sobre kilos ganados, no sobre valor.</t>
        </is>
      </c>
    </row>
    <row r="35">
      <c r="B35" s="7" t="inlineStr">
        <is>
          <t>% para el engordador (capitalizador)</t>
        </is>
      </c>
      <c r="C35" s="17">
        <f>1-C34</f>
        <v/>
      </c>
    </row>
    <row r="38">
      <c r="B38" s="57" t="inlineStr">
        <is>
          <t>6. SITUACION ACTUAL — ¿Dónde estamos?</t>
        </is>
      </c>
    </row>
    <row r="40">
      <c r="B40" t="inlineStr">
        <is>
          <t>¿Cuál camino eligió al inicio?</t>
        </is>
      </c>
      <c r="C40" s="58" t="n">
        <v>1</v>
      </c>
      <c r="D40" s="59" t="inlineStr">
        <is>
          <t>(1=Venta oct, 2=Cap, 3=Corral, 4=Pastura, 5=Recría+corral)</t>
        </is>
      </c>
    </row>
    <row r="41">
      <c r="B41" t="inlineStr">
        <is>
          <t>Fecha de hoy</t>
        </is>
      </c>
      <c r="C41" s="58">
        <f>TODAY()</f>
        <v/>
      </c>
    </row>
    <row r="42">
      <c r="B42" t="inlineStr">
        <is>
          <t>Margen acumulado hasta hoy</t>
        </is>
      </c>
      <c r="C42" s="58" t="n">
        <v>0</v>
      </c>
    </row>
  </sheetData>
  <mergeCells count="6">
    <mergeCell ref="B5:D5"/>
    <mergeCell ref="B32:D32"/>
    <mergeCell ref="B17:D17"/>
    <mergeCell ref="B27:D27"/>
    <mergeCell ref="B12:D12"/>
    <mergeCell ref="B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K105"/>
  <sheetViews>
    <sheetView showGridLines="0" tabSelected="1" zoomScale="85" zoomScaleNormal="85" workbookViewId="0">
      <pane xSplit="6" ySplit="4" topLeftCell="G55" activePane="bottomRight" state="frozen"/>
      <selection pane="topRight" activeCell="G1" sqref="G1"/>
      <selection pane="bottomLeft" activeCell="A41" sqref="A41"/>
      <selection pane="bottomRight" activeCell="I72" sqref="I72"/>
    </sheetView>
  </sheetViews>
  <sheetFormatPr baseColWidth="10" defaultColWidth="8.6640625" defaultRowHeight="14.4"/>
  <cols>
    <col width="2" customWidth="1" min="1" max="2"/>
    <col width="38.21875" customWidth="1" style="18" min="3" max="3"/>
    <col width="10" customWidth="1" min="4" max="4"/>
    <col width="13.21875" customWidth="1" min="5" max="5"/>
    <col width="3" customWidth="1" min="6" max="6"/>
    <col width="20" customWidth="1" min="7" max="11"/>
  </cols>
  <sheetData>
    <row r="2" ht="23.25" customHeight="1">
      <c r="C2" s="3" t="inlineStr">
        <is>
          <t>MODELOS RECRÍA + ENGORDE 2026 — Ternero 180 kg (abril) → 5 caminos desde octubre</t>
        </is>
      </c>
    </row>
    <row r="3">
      <c r="G3" s="19" t="n">
        <v>1</v>
      </c>
      <c r="H3" s="19" t="n">
        <v>2</v>
      </c>
      <c r="I3" s="19" t="n">
        <v>3</v>
      </c>
      <c r="J3" s="19" t="n">
        <v>4</v>
      </c>
      <c r="K3" s="19" t="n">
        <v>5</v>
      </c>
    </row>
    <row r="4" ht="28.5" customHeight="1">
      <c r="C4" s="2" t="inlineStr">
        <is>
          <t>CAMINOS (desde 270 kg, oct-2026)</t>
        </is>
      </c>
      <c r="G4" s="20" t="inlineStr">
        <is>
          <t>Venta oct. + plazo fijo</t>
        </is>
      </c>
      <c r="H4" s="20" t="inlineStr">
        <is>
          <t xml:space="preserve"> Capitalización (mar)</t>
        </is>
      </c>
      <c r="I4" s="20" t="inlineStr">
        <is>
          <t>Corral liviano (feb-jun)</t>
        </is>
      </c>
      <c r="J4" s="20" t="inlineStr">
        <is>
          <t>Engorde a pastura (mar)</t>
        </is>
      </c>
      <c r="K4" s="20" t="inlineStr">
        <is>
          <t>Recría+corral propio (may)</t>
        </is>
      </c>
    </row>
    <row r="5" ht="42.75" customHeight="1">
      <c r="G5" s="21" t="inlineStr">
        <is>
          <t>Vende en octubre a 270 kg; compara contra poner esa plata a plazo fijo.</t>
        </is>
      </c>
      <c r="H5" s="21" t="inlineStr">
        <is>
          <t>Envía a capitalizar: sale gordo en marzo 430-440 kg. Reparto 45% dueño / 55% engordador sobre kilos ganados.</t>
        </is>
      </c>
      <c r="I5" s="21" t="inlineStr">
        <is>
          <t>Entra a corral de inicio liviano a ppios de febrero: 270→415 kg, 120 días, 1,2 kg/d.</t>
        </is>
      </c>
      <c r="J5" s="21" t="inlineStr">
        <is>
          <t>Engorde a pastura propio: sale en marzo con 430-440 kg.</t>
        </is>
      </c>
      <c r="K5" s="21" t="inlineStr">
        <is>
          <t>Recría en pastura hasta febrero (400 kg) + 90 días de corral propio a 1,1 kg/d, sale en mayo con 500 kg.</t>
        </is>
      </c>
    </row>
    <row r="6">
      <c r="C6" s="22" t="inlineStr">
        <is>
          <t>Categoría inicial</t>
        </is>
      </c>
      <c r="E6" s="15" t="inlineStr">
        <is>
          <t>Ternero 180 kg</t>
        </is>
      </c>
    </row>
    <row r="7">
      <c r="C7" s="23" t="inlineStr">
        <is>
          <t>Fecha de compra</t>
        </is>
      </c>
      <c r="E7" s="60" t="n">
        <v>46113</v>
      </c>
    </row>
    <row r="8">
      <c r="C8" s="23" t="inlineStr">
        <is>
          <t>Peso inicial (compra)</t>
        </is>
      </c>
      <c r="D8" s="25" t="inlineStr">
        <is>
          <t>kg</t>
        </is>
      </c>
      <c r="E8" s="26" t="n">
        <v>180</v>
      </c>
    </row>
    <row r="9" ht="28.8" customHeight="1">
      <c r="C9" s="27" t="inlineStr">
        <is>
          <t>Precio de compra (actualizado a pesos de hoy)</t>
        </is>
      </c>
      <c r="D9" s="25" t="inlineStr">
        <is>
          <t>$/kg</t>
        </is>
      </c>
      <c r="E9" s="28">
        <f>'Parametros a actualizar'!$C$21</f>
        <v/>
      </c>
    </row>
    <row r="10">
      <c r="C10" s="23" t="inlineStr">
        <is>
          <t>% Gastos comerciales - compra</t>
        </is>
      </c>
      <c r="E10" s="29">
        <f>'Parametros a actualizar'!$C$29</f>
        <v/>
      </c>
    </row>
    <row r="12">
      <c r="C12" s="23" t="inlineStr">
        <is>
          <t>ADPV etapa (verdeo invierno)</t>
        </is>
      </c>
      <c r="D12" s="25" t="inlineStr">
        <is>
          <t>kg/d</t>
        </is>
      </c>
      <c r="E12" s="26" t="n">
        <v>0.7</v>
      </c>
    </row>
    <row r="13">
      <c r="C13" s="23" t="inlineStr">
        <is>
          <t>Peso a la salida (1/oct)</t>
        </is>
      </c>
      <c r="D13" s="25" t="inlineStr">
        <is>
          <t>kg</t>
        </is>
      </c>
      <c r="E13" s="26" t="n">
        <v>270</v>
      </c>
    </row>
    <row r="14">
      <c r="C14" s="23" t="inlineStr">
        <is>
          <t>Fecha de salida (llegada a 270 kg)</t>
        </is>
      </c>
      <c r="E14" s="60" t="n">
        <v>46296</v>
      </c>
    </row>
    <row r="15">
      <c r="C15" s="23" t="inlineStr">
        <is>
          <t>Duración etapa</t>
        </is>
      </c>
      <c r="D15" s="25" t="inlineStr">
        <is>
          <t>días</t>
        </is>
      </c>
      <c r="E15" s="30">
        <f>E14-E7</f>
        <v/>
      </c>
    </row>
    <row r="16">
      <c r="C16" s="23" t="inlineStr">
        <is>
          <t>Kg producidos etapa</t>
        </is>
      </c>
      <c r="D16" s="25" t="inlineStr">
        <is>
          <t>kg/cab</t>
        </is>
      </c>
      <c r="E16" s="30">
        <f>E13-E8</f>
        <v/>
      </c>
    </row>
    <row r="18">
      <c r="C18" s="31" t="inlineStr">
        <is>
          <t>Nota</t>
        </is>
      </c>
      <c r="E18" s="32" t="inlineStr">
        <is>
          <t>Ritmo de recría según lo cargado por Fermín en sus notas (verdeo de invierno). Ver también variante 0,5 kg/d si se quiere comparar.</t>
        </is>
      </c>
    </row>
    <row r="20" ht="28.5" customHeight="1">
      <c r="C20" s="22" t="inlineStr">
        <is>
          <t>Costo de compra neto (con gastos comerciales)</t>
        </is>
      </c>
      <c r="D20" s="25" t="inlineStr">
        <is>
          <t>$/cab</t>
        </is>
      </c>
      <c r="E20" s="16">
        <f>E8*E9*(1+E10)</f>
        <v/>
      </c>
    </row>
    <row r="21" ht="28.5" customHeight="1">
      <c r="C21" s="22" t="inlineStr">
        <is>
          <t>Valor del animal a la salida de la etapa común</t>
        </is>
      </c>
      <c r="D21" s="25" t="inlineStr">
        <is>
          <t>kg a 270 kg</t>
        </is>
      </c>
    </row>
    <row r="22" ht="24" customHeight="1">
      <c r="C22" s="33" t="inlineStr">
        <is>
          <t>(referencia — cada camino valúa este punto de partida con su propio precio de ingreso)</t>
        </is>
      </c>
    </row>
    <row r="24" ht="15" customHeight="1">
      <c r="C24" s="4" t="inlineStr">
        <is>
          <t>1. FICHA TÉCNICA</t>
        </is>
      </c>
    </row>
    <row r="25">
      <c r="C25" s="23" t="inlineStr">
        <is>
          <t>Peso entrada (= salida etapa común)</t>
        </is>
      </c>
      <c r="D25" s="25" t="inlineStr">
        <is>
          <t>kg</t>
        </is>
      </c>
      <c r="G25" s="34">
        <f>$E$13</f>
        <v/>
      </c>
      <c r="H25" s="34">
        <f>$E$13</f>
        <v/>
      </c>
      <c r="I25" s="34">
        <f>$E$13</f>
        <v/>
      </c>
      <c r="J25" s="34">
        <f>$E$13</f>
        <v/>
      </c>
      <c r="K25" s="34">
        <f>$E$13</f>
        <v/>
      </c>
    </row>
    <row r="26">
      <c r="C26" s="23" t="inlineStr">
        <is>
          <t>Fecha entrada (= salida etapa común)</t>
        </is>
      </c>
      <c r="G26" s="61">
        <f>$E$14</f>
        <v/>
      </c>
      <c r="H26" s="61">
        <f>$E$14</f>
        <v/>
      </c>
      <c r="I26" s="61">
        <f>$E$14</f>
        <v/>
      </c>
      <c r="J26" s="61">
        <f>$E$14</f>
        <v/>
      </c>
      <c r="K26" s="61">
        <f>$E$14</f>
        <v/>
      </c>
    </row>
    <row r="27">
      <c r="C27" s="23" t="inlineStr">
        <is>
          <t>Peso de salida (venta)</t>
        </is>
      </c>
      <c r="D27" s="25" t="inlineStr">
        <is>
          <t>kg</t>
        </is>
      </c>
      <c r="G27" s="26" t="n">
        <v>270</v>
      </c>
      <c r="H27" s="26" t="n">
        <v>435</v>
      </c>
      <c r="I27" s="26" t="n">
        <v>415</v>
      </c>
      <c r="J27" s="26" t="n">
        <v>435</v>
      </c>
      <c r="K27" s="26" t="n">
        <v>500</v>
      </c>
    </row>
    <row r="28">
      <c r="C28" s="23" t="inlineStr">
        <is>
          <t>ADPV del camino</t>
        </is>
      </c>
      <c r="D28" s="25" t="inlineStr">
        <is>
          <t>kg/d</t>
        </is>
      </c>
      <c r="H28" s="26" t="n">
        <v>0.55</v>
      </c>
      <c r="I28" s="26" t="n">
        <v>1.2</v>
      </c>
      <c r="J28" s="26" t="n">
        <v>0.6</v>
      </c>
    </row>
    <row r="29">
      <c r="C29" s="23" t="inlineStr">
        <is>
          <t>Fecha de salida (venta)</t>
        </is>
      </c>
      <c r="G29" s="60" t="n">
        <v>46296</v>
      </c>
      <c r="H29" s="60" t="n">
        <v>46447</v>
      </c>
      <c r="I29" s="60" t="n">
        <v>46419</v>
      </c>
      <c r="J29" s="60" t="n">
        <v>46447</v>
      </c>
      <c r="K29" s="60" t="n">
        <v>46508</v>
      </c>
    </row>
    <row r="30">
      <c r="C30" s="23" t="inlineStr">
        <is>
          <t>Duración del camino (desde oct)</t>
        </is>
      </c>
      <c r="D30" s="25" t="inlineStr">
        <is>
          <t>días</t>
        </is>
      </c>
      <c r="G30" s="30">
        <f>G29-G26</f>
        <v/>
      </c>
      <c r="H30" s="30">
        <f>H29-H26</f>
        <v/>
      </c>
      <c r="I30" s="30">
        <f>I29-I26</f>
        <v/>
      </c>
      <c r="J30" s="30">
        <f>J29-J26</f>
        <v/>
      </c>
      <c r="K30" s="30">
        <f>K29-K26</f>
        <v/>
      </c>
    </row>
    <row r="31">
      <c r="C31" s="23" t="inlineStr">
        <is>
          <t>Kg producidos en el camino</t>
        </is>
      </c>
      <c r="D31" s="25" t="inlineStr">
        <is>
          <t>kg/cab</t>
        </is>
      </c>
      <c r="G31" s="30">
        <f>G27-G25</f>
        <v/>
      </c>
      <c r="H31" s="30">
        <f>H27-H25</f>
        <v/>
      </c>
      <c r="I31" s="30">
        <f>I27-I25</f>
        <v/>
      </c>
      <c r="J31" s="30">
        <f>J27-J25</f>
        <v/>
      </c>
      <c r="K31" s="30">
        <f>K27-K25</f>
        <v/>
      </c>
    </row>
    <row r="32">
      <c r="C32" s="23" t="inlineStr">
        <is>
          <t>% Mortandad del camino</t>
        </is>
      </c>
      <c r="D32" s="25" t="inlineStr">
        <is>
          <t>%</t>
        </is>
      </c>
      <c r="G32" s="11" t="n">
        <v>0</v>
      </c>
      <c r="H32" s="11" t="n">
        <v>0.01</v>
      </c>
      <c r="I32" s="11" t="n">
        <v>0.02</v>
      </c>
      <c r="J32" s="11" t="n">
        <v>0.01</v>
      </c>
      <c r="K32" s="11" t="n">
        <v>0.015</v>
      </c>
    </row>
    <row r="34" ht="15" customHeight="1">
      <c r="C34" s="4" t="inlineStr">
        <is>
          <t>2. PRECIOS (deflactados a pesos de hoy — inflación esperada + dólar)</t>
        </is>
      </c>
    </row>
    <row r="35" ht="28.5" customHeight="1">
      <c r="C35" s="23" t="inlineStr">
        <is>
          <t>Precio de ingreso (270 kg, oct) — pesos de hoy</t>
        </is>
      </c>
      <c r="D35" s="25" t="inlineStr">
        <is>
          <t>$/kg</t>
        </is>
      </c>
      <c r="G35" s="28">
        <f>'Parametros a actualizar'!$C$23</f>
        <v/>
      </c>
      <c r="H35" s="28">
        <f>'Parametros a actualizar'!$C$23</f>
        <v/>
      </c>
      <c r="I35" s="28">
        <f>'Parametros a actualizar'!$C$23</f>
        <v/>
      </c>
      <c r="J35" s="28">
        <f>'Parametros a actualizar'!$C$23</f>
        <v/>
      </c>
      <c r="K35" s="28">
        <f>'Parametros a actualizar'!$C$23</f>
        <v/>
      </c>
    </row>
    <row r="36" ht="28.5" customHeight="1">
      <c r="C36" s="23" t="inlineStr">
        <is>
          <t>Precio de venta esperado (nominal, a la fecha de salida)</t>
        </is>
      </c>
      <c r="D36" s="25" t="inlineStr">
        <is>
          <t>$/kg</t>
        </is>
      </c>
      <c r="G36" s="28">
        <f>'Parametros a actualizar'!$C$23</f>
        <v/>
      </c>
      <c r="H36" s="28">
        <f>'Parametros a actualizar'!$C$24</f>
        <v/>
      </c>
      <c r="I36" s="28">
        <f>'Parametros a actualizar'!$C$24</f>
        <v/>
      </c>
      <c r="J36" s="28">
        <f>'Parametros a actualizar'!$C$24</f>
        <v/>
      </c>
      <c r="K36" s="28">
        <f>'Parametros a actualizar'!$C$25</f>
        <v/>
      </c>
    </row>
    <row r="37" ht="28.5" customHeight="1">
      <c r="C37" s="23" t="inlineStr">
        <is>
          <t>Meses entre entrada y venta (para deflactar)</t>
        </is>
      </c>
      <c r="D37" s="25" t="inlineStr">
        <is>
          <t>meses</t>
        </is>
      </c>
      <c r="G37" s="56">
        <f>(G29-G26)/30</f>
        <v/>
      </c>
      <c r="H37" s="56">
        <f>(H29-H26)/30</f>
        <v/>
      </c>
      <c r="I37" s="56">
        <f>(I29-I26)/30</f>
        <v/>
      </c>
      <c r="J37" s="56">
        <f>(J29-J26)/30</f>
        <v/>
      </c>
      <c r="K37" s="56">
        <f>(K29-K26)/30</f>
        <v/>
      </c>
    </row>
    <row r="38" ht="28.5" customHeight="1">
      <c r="C38" s="22" t="inlineStr">
        <is>
          <t>Precio de venta deflactado a pesos de hoy</t>
        </is>
      </c>
      <c r="D38" s="25" t="inlineStr">
        <is>
          <t>$/kg</t>
        </is>
      </c>
      <c r="G38" s="16">
        <f>G36/(1+'Parametros a actualizar'!$C$7)^G37</f>
        <v/>
      </c>
      <c r="H38" s="16">
        <f>H36/(1+'Parametros a actualizar'!$C$7)^H37</f>
        <v/>
      </c>
      <c r="I38" s="16">
        <f>I36/(1+'Parametros a actualizar'!$C$7)^I37</f>
        <v/>
      </c>
      <c r="J38" s="16">
        <f>J36/(1+'Parametros a actualizar'!$C$7)^J37</f>
        <v/>
      </c>
      <c r="K38" s="16">
        <f>K36/(1+'Parametros a actualizar'!$C$7)^K37</f>
        <v/>
      </c>
    </row>
    <row r="40">
      <c r="C40" s="32" t="inlineStr">
        <is>
          <t>Camino 1 no necesita deflactar (venta el mismo día de la etapa común). Los demás traen el precio de venta futuro a pesos de hoy con la inflación esperada de Parámetros (1,7-1,8% mensual, definido por Fermín).</t>
        </is>
      </c>
    </row>
    <row r="42" ht="15" customHeight="1">
      <c r="C42" s="4" t="inlineStr">
        <is>
          <t>3. INGRESOS Y GASTOS (pesos de hoy)</t>
        </is>
      </c>
    </row>
    <row r="43" ht="42.75" customHeight="1">
      <c r="C43" s="23" t="inlineStr">
        <is>
          <t>Ingreso bruto por venta  [Camino 2: (kg entrada + 45% kg ganados) x precio venta]</t>
        </is>
      </c>
      <c r="D43" s="25" t="inlineStr">
        <is>
          <t>$/cab</t>
        </is>
      </c>
      <c r="G43" s="36">
        <f>G27*G38*(1-G32)</f>
        <v/>
      </c>
      <c r="H43" s="36">
        <f>(H25+(H31*'Parametros a actualizar'!$C$34))*H38*(1-H32)</f>
        <v/>
      </c>
      <c r="I43" s="36">
        <f>I27*I38*(1-I32)</f>
        <v/>
      </c>
      <c r="J43" s="36">
        <f>J27*J38*(1-J32)</f>
        <v/>
      </c>
      <c r="K43" s="36">
        <f>K27*K38*(1-K32)</f>
        <v/>
      </c>
    </row>
    <row r="44">
      <c r="C44" s="23" t="inlineStr">
        <is>
          <t>% Gastos comerciales - venta</t>
        </is>
      </c>
      <c r="D44" s="25" t="inlineStr">
        <is>
          <t>%</t>
        </is>
      </c>
      <c r="G44" s="29">
        <f>'Parametros a actualizar'!$C$30</f>
        <v/>
      </c>
      <c r="H44" s="29">
        <f>'Parametros a actualizar'!$C$30</f>
        <v/>
      </c>
      <c r="I44" s="29">
        <f>'Parametros a actualizar'!$C$30</f>
        <v/>
      </c>
      <c r="J44" s="29">
        <f>'Parametros a actualizar'!$C$30</f>
        <v/>
      </c>
      <c r="K44" s="29">
        <f>'Parametros a actualizar'!$C$30</f>
        <v/>
      </c>
    </row>
    <row r="45">
      <c r="C45" s="22" t="inlineStr">
        <is>
          <t>Ingreso neto de venta</t>
        </is>
      </c>
      <c r="D45" s="25" t="inlineStr">
        <is>
          <t>$/cab</t>
        </is>
      </c>
      <c r="G45" s="16">
        <f>G43*(1-G44)</f>
        <v/>
      </c>
      <c r="H45" s="16">
        <f>H43*(1-H44)</f>
        <v/>
      </c>
      <c r="I45" s="16">
        <f>I43*(1-I44)</f>
        <v/>
      </c>
      <c r="J45" s="16">
        <f>J43*(1-J44)</f>
        <v/>
      </c>
      <c r="K45" s="16">
        <f>K43*(1-K44)</f>
        <v/>
      </c>
    </row>
    <row r="47" ht="15" customHeight="1">
      <c r="C47" s="4" t="inlineStr">
        <is>
          <t>4. COSTOS DEL CAMINO (desde oct, además del costo de compra ya incorporado en la etapa común)</t>
        </is>
      </c>
    </row>
    <row r="48">
      <c r="C48" s="23" t="inlineStr">
        <is>
          <t>Costo de alimentación / recría / corral</t>
        </is>
      </c>
      <c r="D48" s="25" t="inlineStr">
        <is>
          <t>$/cab</t>
        </is>
      </c>
      <c r="G48" s="37">
        <f>G31*G104</f>
        <v/>
      </c>
      <c r="H48" s="37">
        <f>H31*H104</f>
        <v/>
      </c>
      <c r="I48" s="37">
        <f>I31*I104</f>
        <v/>
      </c>
      <c r="J48" s="37">
        <f>J31*J104</f>
        <v/>
      </c>
      <c r="K48" s="37">
        <f>K31*K104</f>
        <v/>
      </c>
    </row>
    <row r="49">
      <c r="C49" s="23" t="inlineStr">
        <is>
          <t>Sanidad</t>
        </is>
      </c>
      <c r="D49" s="25" t="inlineStr">
        <is>
          <t>$/cab</t>
        </is>
      </c>
      <c r="E49" s="38" t="n">
        <v>0.02</v>
      </c>
      <c r="G49" s="36">
        <f>$E$9*$E$49</f>
        <v/>
      </c>
      <c r="H49" s="36">
        <f>$E$9*$E$49</f>
        <v/>
      </c>
      <c r="I49" s="36">
        <f>$E$9*$E$49</f>
        <v/>
      </c>
      <c r="J49" s="36">
        <f>$E$9*$E$49</f>
        <v/>
      </c>
      <c r="K49" s="36">
        <f>$E$9*$E$49</f>
        <v/>
      </c>
    </row>
    <row r="50" ht="28.5" customHeight="1">
      <c r="C50" s="23" t="inlineStr">
        <is>
          <t>Gastos de estructura / personal (prorrateado)</t>
        </is>
      </c>
      <c r="D50" s="25" t="inlineStr">
        <is>
          <t>$/cab</t>
        </is>
      </c>
      <c r="G50" s="13" t="n">
        <v>0</v>
      </c>
      <c r="H50" s="13" t="n">
        <v>0</v>
      </c>
      <c r="I50" s="13" t="n">
        <v>25000</v>
      </c>
      <c r="J50" s="13" t="n">
        <v>15000</v>
      </c>
      <c r="K50" s="13" t="n">
        <v>20000</v>
      </c>
    </row>
    <row r="51">
      <c r="C51" s="22" t="inlineStr">
        <is>
          <t>Gastos directos totales</t>
        </is>
      </c>
      <c r="D51" s="25" t="inlineStr">
        <is>
          <t>$/cab</t>
        </is>
      </c>
      <c r="G51" s="16">
        <f>SUM(G48:G50)</f>
        <v/>
      </c>
      <c r="H51" s="16">
        <f>SUM(H48:H50)</f>
        <v/>
      </c>
      <c r="I51" s="16">
        <f>SUM(I48:I50)</f>
        <v/>
      </c>
      <c r="J51" s="16">
        <f>SUM(J48:J50)</f>
        <v/>
      </c>
      <c r="K51" s="16">
        <f>SUM(K48:K50)</f>
        <v/>
      </c>
    </row>
    <row r="53">
      <c r="C53" s="32" t="inlineStr">
        <is>
          <t>Costo de alimentación = kg producidos del camino × costo/kg ganado (ver sección 12, al final de la hoja). Sanidad y gastos de estructura siguen como valores de referencia a completar.</t>
        </is>
      </c>
    </row>
    <row r="55" ht="15" customHeight="1">
      <c r="C55" s="4" t="inlineStr">
        <is>
          <t>5. MARGEN EN PESOS DE HOY</t>
        </is>
      </c>
    </row>
    <row r="56">
      <c r="C56" s="22" t="inlineStr">
        <is>
          <t>Margen bruto por cabeza</t>
        </is>
      </c>
      <c r="D56" s="25" t="inlineStr">
        <is>
          <t>$/cab</t>
        </is>
      </c>
      <c r="G56" s="16">
        <f>G45-G51-$E$20</f>
        <v/>
      </c>
      <c r="H56" s="16">
        <f>H45-H51-$E$20</f>
        <v/>
      </c>
      <c r="I56" s="16">
        <f>I45-I51-$E$20</f>
        <v/>
      </c>
      <c r="J56" s="16">
        <f>J45-J51-$E$20</f>
        <v/>
      </c>
      <c r="K56" s="16">
        <f>K45-K51-$E$20</f>
        <v/>
      </c>
    </row>
    <row r="57" ht="28.5" customHeight="1">
      <c r="C57" s="23" t="inlineStr">
        <is>
          <t>Capital inmovilizado (costo compra + 50% gastos directos)</t>
        </is>
      </c>
      <c r="D57" s="25" t="inlineStr">
        <is>
          <t>$/cab</t>
        </is>
      </c>
      <c r="G57" s="36">
        <f>$E$20+(G51*0.5)</f>
        <v/>
      </c>
      <c r="H57" s="36">
        <f>$E$20+(H51*0.5)</f>
        <v/>
      </c>
      <c r="I57" s="36">
        <f>$E$20+(I51*0.5)</f>
        <v/>
      </c>
      <c r="J57" s="36">
        <f>$E$20+(J51*0.5)</f>
        <v/>
      </c>
      <c r="K57" s="36">
        <f>$E$20+(K51*0.5)</f>
        <v/>
      </c>
    </row>
    <row r="59" ht="15" customHeight="1">
      <c r="C59" s="4" t="inlineStr">
        <is>
          <t>6. MARGEN EN USD (lectura complementaria — no reemplaza la de pesos)</t>
        </is>
      </c>
    </row>
    <row r="60">
      <c r="C60" s="23" t="inlineStr">
        <is>
          <t>Margen bruto por cabeza en USD</t>
        </is>
      </c>
      <c r="D60" s="25" t="inlineStr">
        <is>
          <t>USD/cab</t>
        </is>
      </c>
      <c r="G60" s="28">
        <f>G56/'Parametros a actualizar'!$C$14</f>
        <v/>
      </c>
      <c r="H60" s="28">
        <f>H56/'Parametros a actualizar'!$C$14</f>
        <v/>
      </c>
      <c r="I60" s="28">
        <f>I56/'Parametros a actualizar'!$C$14</f>
        <v/>
      </c>
      <c r="J60" s="28">
        <f>J56/'Parametros a actualizar'!$C$14</f>
        <v/>
      </c>
      <c r="K60" s="28">
        <f>K56/'Parametros a actualizar'!$C$14</f>
        <v/>
      </c>
    </row>
    <row r="62" ht="15" customHeight="1">
      <c r="C62" s="4" t="inlineStr">
        <is>
          <t>7. COSTO FINANCIERO — si hay que salir a pedir plata</t>
        </is>
      </c>
    </row>
    <row r="63">
      <c r="C63" s="23" t="inlineStr">
        <is>
          <t>Meses de capital inmovilizado (desde oct)</t>
        </is>
      </c>
      <c r="D63" s="25" t="inlineStr">
        <is>
          <t>meses</t>
        </is>
      </c>
      <c r="G63" s="56">
        <f>G37</f>
        <v/>
      </c>
      <c r="H63" s="56">
        <f>H37</f>
        <v/>
      </c>
      <c r="I63" s="56">
        <f>I37</f>
        <v/>
      </c>
      <c r="J63" s="56">
        <f>J37</f>
        <v/>
      </c>
      <c r="K63" s="56">
        <f>K37</f>
        <v/>
      </c>
    </row>
    <row r="64" ht="28.5" customHeight="1">
      <c r="C64" s="23" t="inlineStr">
        <is>
          <t>Costo financiero (tasa anual s/ capital inmovilizado)</t>
        </is>
      </c>
      <c r="D64" s="25" t="inlineStr">
        <is>
          <t>$/cab</t>
        </is>
      </c>
      <c r="G64" s="36">
        <f>G57*'Parametros a actualizar'!$C$10*G63/12</f>
        <v/>
      </c>
      <c r="H64" s="36">
        <f>H57*'Parametros a actualizar'!$C$10*H63/12</f>
        <v/>
      </c>
      <c r="I64" s="36">
        <f>I57*'Parametros a actualizar'!$C$10*I63/12</f>
        <v/>
      </c>
      <c r="J64" s="36">
        <f>J57*'Parametros a actualizar'!$C$10*J63/12</f>
        <v/>
      </c>
      <c r="K64" s="36">
        <f>K57*'Parametros a actualizar'!$C$10*K63/12</f>
        <v/>
      </c>
    </row>
    <row r="65">
      <c r="C65" s="22" t="inlineStr">
        <is>
          <t>Margen después de costo financiero</t>
        </is>
      </c>
      <c r="D65" s="25" t="inlineStr">
        <is>
          <t>$/cab</t>
        </is>
      </c>
      <c r="G65" s="16">
        <f>G56-G64</f>
        <v/>
      </c>
      <c r="H65" s="16">
        <f>H56-H64</f>
        <v/>
      </c>
      <c r="I65" s="16">
        <f>I56-I64</f>
        <v/>
      </c>
      <c r="J65" s="16">
        <f>J56-J64</f>
        <v/>
      </c>
      <c r="K65" s="16">
        <f>K56-K64</f>
        <v/>
      </c>
    </row>
    <row r="67" ht="15" customHeight="1">
      <c r="C67" s="4" t="inlineStr">
        <is>
          <t>8. CONTRASTE VS. RENTA DE MERCADO — plazo fijo en pesos</t>
        </is>
      </c>
    </row>
    <row r="68" ht="28.5" customHeight="1">
      <c r="C68" s="23" t="inlineStr">
        <is>
          <t>Capital que se inmoviliza (= costo de compra neto, etapa común)</t>
        </is>
      </c>
      <c r="D68" s="25" t="inlineStr">
        <is>
          <t>$/cab</t>
        </is>
      </c>
      <c r="G68" s="36">
        <f>$E$20</f>
        <v/>
      </c>
      <c r="H68" s="36">
        <f>$E$20</f>
        <v/>
      </c>
      <c r="I68" s="36">
        <f>$E$20</f>
        <v/>
      </c>
      <c r="J68" s="36">
        <f>$E$20</f>
        <v/>
      </c>
      <c r="K68" s="36">
        <f>$E$20</f>
        <v/>
      </c>
    </row>
    <row r="69" ht="28.5" customHeight="1">
      <c r="C69" s="23" t="inlineStr">
        <is>
          <t>Valor de ese capital a plazo fijo, misma fecha de salida</t>
        </is>
      </c>
      <c r="D69" s="25" t="inlineStr">
        <is>
          <t>$/cab</t>
        </is>
      </c>
      <c r="G69" s="36">
        <f>G68*(1+'Parametros a actualizar'!$C$8)^(G63/12)</f>
        <v/>
      </c>
      <c r="H69" s="36">
        <f>H68*(1+'Parametros a actualizar'!$C$8)^(H63/12)</f>
        <v/>
      </c>
      <c r="I69" s="36">
        <f>I68*(1+'Parametros a actualizar'!$C$8)^(I63/12)</f>
        <v/>
      </c>
      <c r="J69" s="36">
        <f>J68*(1+'Parametros a actualizar'!$C$8)^(J63/12)</f>
        <v/>
      </c>
      <c r="K69" s="36">
        <f>K68*(1+'Parametros a actualizar'!$C$8)^(K63/12)</f>
        <v/>
      </c>
    </row>
    <row r="70">
      <c r="C70" s="23" t="inlineStr">
        <is>
          <t>Renta del plazo fijo en el período</t>
        </is>
      </c>
      <c r="D70" s="25" t="inlineStr">
        <is>
          <t>$/cab</t>
        </is>
      </c>
      <c r="G70" s="36">
        <f>G69-G68</f>
        <v/>
      </c>
      <c r="H70" s="36">
        <f>H69-H68</f>
        <v/>
      </c>
      <c r="I70" s="36">
        <f>I69-I68</f>
        <v/>
      </c>
      <c r="J70" s="36">
        <f>J69-J68</f>
        <v/>
      </c>
      <c r="K70" s="36">
        <f>K69-K68</f>
        <v/>
      </c>
    </row>
    <row r="71" ht="28.5" customHeight="1">
      <c r="C71" s="22" t="inlineStr">
        <is>
          <t>Resultado del negocio vs. plazo fijo (diferencia)</t>
        </is>
      </c>
      <c r="D71" s="25" t="inlineStr">
        <is>
          <t>$/cab</t>
        </is>
      </c>
      <c r="G71" s="16">
        <f>G65-G70</f>
        <v/>
      </c>
      <c r="H71" s="16">
        <f>H65-H70</f>
        <v/>
      </c>
      <c r="I71" s="16">
        <f>I65-I70</f>
        <v/>
      </c>
      <c r="J71" s="16">
        <f>J65-J70</f>
        <v/>
      </c>
      <c r="K71" s="16">
        <f>K65-K70</f>
        <v/>
      </c>
    </row>
    <row r="72">
      <c r="C72" s="22" t="inlineStr">
        <is>
          <t>Resultado del negocio vs. plazo fijo (%)</t>
        </is>
      </c>
      <c r="D72" s="25" t="inlineStr">
        <is>
          <t>%</t>
        </is>
      </c>
      <c r="G72" s="39">
        <f>IFERROR(G71/G70,"")</f>
        <v/>
      </c>
      <c r="H72" s="39">
        <f>IFERROR(H71/H70,"")</f>
        <v/>
      </c>
      <c r="I72" s="39">
        <f>IFERROR(I71/I70,"")</f>
        <v/>
      </c>
      <c r="J72" s="39">
        <f>IFERROR(J71/J70,"")</f>
        <v/>
      </c>
      <c r="K72" s="39">
        <f>IFERROR(K71/K70,"")</f>
        <v/>
      </c>
    </row>
    <row r="74" ht="15" customHeight="1">
      <c r="C74" s="4" t="inlineStr">
        <is>
          <t>9. PRECIO Y PRODUCCIÓN DE INDIFERENCIA</t>
        </is>
      </c>
    </row>
    <row r="75">
      <c r="C75" s="23" t="inlineStr">
        <is>
          <t>Precio de indiferencia de venta</t>
        </is>
      </c>
      <c r="D75" s="25" t="inlineStr">
        <is>
          <t>$/kg</t>
        </is>
      </c>
      <c r="G75" s="36">
        <f>(G51+G64+$E$20)/(G27*(1-G44)*(1-G32))</f>
        <v/>
      </c>
      <c r="H75" s="36">
        <f>(H51+H64+$E$20)/(H27*(1-H44)*(1-H32))</f>
        <v/>
      </c>
      <c r="I75" s="36">
        <f>(I51+I64+$E$20)/(I27*(1-I44)*(1-I32))</f>
        <v/>
      </c>
      <c r="J75" s="36">
        <f>(J51+J64+$E$20)/(J27*(1-J44)*(1-J32))</f>
        <v/>
      </c>
      <c r="K75" s="36">
        <f>(K51+K64+$E$20)/(K27*(1-K44)*(1-K32))</f>
        <v/>
      </c>
    </row>
    <row r="76" ht="28.5" customHeight="1">
      <c r="C76" s="23" t="inlineStr">
        <is>
          <t>Producción de indiferencia (kg adicionales necesarios)</t>
        </is>
      </c>
      <c r="D76" s="25" t="inlineStr">
        <is>
          <t>kg/cab</t>
        </is>
      </c>
      <c r="G76" s="36">
        <f>(G51+G64+$E$20)/(G38*(1-G44)*(1-G32))-G25</f>
        <v/>
      </c>
      <c r="H76" s="36">
        <f>(H51+H64+$E$20)/(H38*(1-H44)*(1-H32))-H25</f>
        <v/>
      </c>
      <c r="I76" s="36">
        <f>(I51+I64+$E$20)/(I38*(1-I44)*(1-I32))-I25</f>
        <v/>
      </c>
      <c r="J76" s="36">
        <f>(J51+J64+$E$20)/(J38*(1-J44)*(1-J32))-J25</f>
        <v/>
      </c>
      <c r="K76" s="36">
        <f>(K51+K64+$E$20)/(K38*(1-K44)*(1-K32))-K25</f>
        <v/>
      </c>
    </row>
    <row r="77">
      <c r="C77" s="32" t="inlineStr">
        <is>
          <t>Nota: si la producción de indiferencia da negativa, significa que el margen ya es positivo sin necesitar más kilos (el costo de compra ya está cubierto por el precio actual) — no es un error.</t>
        </is>
      </c>
    </row>
    <row r="78" ht="15" customHeight="1">
      <c r="C78" s="4" t="inlineStr">
        <is>
          <t>10. COSTOS DIFERENCIALES ENTRE TIEMPOS DE SALIDA (vs. Camino 1 = referencia más corta)</t>
        </is>
      </c>
    </row>
    <row r="79" ht="28.5" customHeight="1">
      <c r="C79" s="23" t="inlineStr">
        <is>
          <t>Meses adicionales respecto al Camino 1 (oct)</t>
        </is>
      </c>
      <c r="D79" s="25" t="inlineStr">
        <is>
          <t>meses</t>
        </is>
      </c>
      <c r="G79" s="62">
        <f>G37-$G$37</f>
        <v/>
      </c>
      <c r="H79" s="62">
        <f>H37-$G$37</f>
        <v/>
      </c>
      <c r="I79" s="62">
        <f>I37-$G$37</f>
        <v/>
      </c>
      <c r="J79" s="62">
        <f>J37-$G$37</f>
        <v/>
      </c>
      <c r="K79" s="62">
        <f>K37-$G$37</f>
        <v/>
      </c>
    </row>
    <row r="80" ht="28.5" customHeight="1">
      <c r="C80" s="23" t="inlineStr">
        <is>
          <t>Costo financiero adicional respecto al Camino 1</t>
        </is>
      </c>
      <c r="D80" s="25" t="inlineStr">
        <is>
          <t>$/cab</t>
        </is>
      </c>
      <c r="G80" s="41">
        <f>G64-$G$64</f>
        <v/>
      </c>
      <c r="H80" s="41">
        <f>H64-$G$64</f>
        <v/>
      </c>
      <c r="I80" s="41">
        <f>I64-$G$64</f>
        <v/>
      </c>
      <c r="J80" s="41">
        <f>J64-$G$64</f>
        <v/>
      </c>
      <c r="K80" s="41">
        <f>K64-$G$64</f>
        <v/>
      </c>
    </row>
    <row r="81" ht="28.5" customHeight="1">
      <c r="C81" s="23" t="inlineStr">
        <is>
          <t>Renta de plazo fijo adicional (lucro cesante de esperar)</t>
        </is>
      </c>
      <c r="D81" s="25" t="inlineStr">
        <is>
          <t>$/cab</t>
        </is>
      </c>
      <c r="G81" s="41">
        <f>G70-$G$70</f>
        <v/>
      </c>
      <c r="H81" s="41">
        <f>H70-$G$70</f>
        <v/>
      </c>
      <c r="I81" s="41">
        <f>I70-$G$70</f>
        <v/>
      </c>
      <c r="J81" s="41">
        <f>J70-$G$70</f>
        <v/>
      </c>
      <c r="K81" s="41">
        <f>K70-$G$70</f>
        <v/>
      </c>
    </row>
    <row r="83" ht="15" customHeight="1">
      <c r="C83" s="4" t="inlineStr">
        <is>
          <t>11. CUADRO RESUMEN — comparación de los 5 caminos</t>
        </is>
      </c>
    </row>
    <row r="84">
      <c r="G84" s="19" t="n">
        <v>1</v>
      </c>
      <c r="H84" s="19" t="n">
        <v>2</v>
      </c>
      <c r="I84" s="19" t="n">
        <v>3</v>
      </c>
      <c r="J84" s="19" t="n">
        <v>4</v>
      </c>
      <c r="K84" s="19" t="n">
        <v>5</v>
      </c>
    </row>
    <row r="85" ht="28.5" customHeight="1">
      <c r="C85" s="42" t="inlineStr">
        <is>
          <t>Indicador</t>
        </is>
      </c>
      <c r="G85" s="20" t="inlineStr">
        <is>
          <t>Venta oct. + plazo fijo</t>
        </is>
      </c>
      <c r="H85" s="20" t="inlineStr">
        <is>
          <t xml:space="preserve"> Capitalización (mar)</t>
        </is>
      </c>
      <c r="I85" s="20" t="inlineStr">
        <is>
          <t>Corral liviano (feb-jun)</t>
        </is>
      </c>
      <c r="J85" s="20" t="inlineStr">
        <is>
          <t>Engorde a pastura (mar)</t>
        </is>
      </c>
      <c r="K85" s="20" t="inlineStr">
        <is>
          <t>Recría+corral propio (may)</t>
        </is>
      </c>
    </row>
    <row r="86">
      <c r="C86" s="43" t="inlineStr">
        <is>
          <t>Fecha de salida</t>
        </is>
      </c>
      <c r="G86" s="63">
        <f>G29</f>
        <v/>
      </c>
      <c r="H86" s="63">
        <f>H29</f>
        <v/>
      </c>
      <c r="I86" s="63">
        <f>I29</f>
        <v/>
      </c>
      <c r="J86" s="63">
        <f>J29</f>
        <v/>
      </c>
      <c r="K86" s="63">
        <f>K29</f>
        <v/>
      </c>
    </row>
    <row r="87">
      <c r="C87" s="43" t="inlineStr">
        <is>
          <t>Duración desde oct (días)</t>
        </is>
      </c>
      <c r="G87" s="45">
        <f>G30</f>
        <v/>
      </c>
      <c r="H87" s="45">
        <f>H30</f>
        <v/>
      </c>
      <c r="I87" s="45">
        <f>I30</f>
        <v/>
      </c>
      <c r="J87" s="45">
        <f>J30</f>
        <v/>
      </c>
      <c r="K87" s="45">
        <f>K30</f>
        <v/>
      </c>
    </row>
    <row r="88">
      <c r="C88" s="43" t="inlineStr">
        <is>
          <t>Peso de venta (kg)</t>
        </is>
      </c>
      <c r="G88" s="45">
        <f>G27</f>
        <v/>
      </c>
      <c r="H88" s="45">
        <f>H27</f>
        <v/>
      </c>
      <c r="I88" s="45">
        <f>I27</f>
        <v/>
      </c>
      <c r="J88" s="45">
        <f>J27</f>
        <v/>
      </c>
      <c r="K88" s="45">
        <f>K27</f>
        <v/>
      </c>
    </row>
    <row r="89">
      <c r="C89" s="43" t="inlineStr">
        <is>
          <t>Margen bruto ($/cab)</t>
        </is>
      </c>
      <c r="G89" s="46">
        <f>G56</f>
        <v/>
      </c>
      <c r="H89" s="46">
        <f>H56</f>
        <v/>
      </c>
      <c r="I89" s="46">
        <f>I56</f>
        <v/>
      </c>
      <c r="J89" s="46">
        <f>J56</f>
        <v/>
      </c>
      <c r="K89" s="46">
        <f>K56</f>
        <v/>
      </c>
    </row>
    <row r="90">
      <c r="C90" s="43" t="inlineStr">
        <is>
          <t>Margen bruto (USD/cab)</t>
        </is>
      </c>
      <c r="G90" s="46">
        <f>G60</f>
        <v/>
      </c>
      <c r="H90" s="46">
        <f>H60</f>
        <v/>
      </c>
      <c r="I90" s="46">
        <f>I60</f>
        <v/>
      </c>
      <c r="J90" s="46">
        <f>J60</f>
        <v/>
      </c>
      <c r="K90" s="46">
        <f>K60</f>
        <v/>
      </c>
    </row>
    <row r="91">
      <c r="C91" s="43" t="inlineStr">
        <is>
          <t>Margen dps. costo financiero ($/cab)</t>
        </is>
      </c>
      <c r="G91" s="46">
        <f>G65</f>
        <v/>
      </c>
      <c r="H91" s="46">
        <f>H65</f>
        <v/>
      </c>
      <c r="I91" s="46">
        <f>I65</f>
        <v/>
      </c>
      <c r="J91" s="46">
        <f>J65</f>
        <v/>
      </c>
      <c r="K91" s="46">
        <f>K65</f>
        <v/>
      </c>
    </row>
    <row r="92">
      <c r="C92" s="43" t="inlineStr">
        <is>
          <t>Resultado vs. plazo fijo ($/cab)</t>
        </is>
      </c>
      <c r="G92" s="46">
        <f>G71</f>
        <v/>
      </c>
      <c r="H92" s="46">
        <f>H71</f>
        <v/>
      </c>
      <c r="I92" s="46">
        <f>I71</f>
        <v/>
      </c>
      <c r="J92" s="46">
        <f>J71</f>
        <v/>
      </c>
      <c r="K92" s="46">
        <f>K71</f>
        <v/>
      </c>
    </row>
    <row r="93">
      <c r="C93" s="43" t="inlineStr">
        <is>
          <t>Resultado vs. plazo fijo (%)</t>
        </is>
      </c>
      <c r="G93" s="47">
        <f>G72</f>
        <v/>
      </c>
      <c r="H93" s="47">
        <f>H72</f>
        <v/>
      </c>
      <c r="I93" s="47">
        <f>I72</f>
        <v/>
      </c>
      <c r="J93" s="47">
        <f>J72</f>
        <v/>
      </c>
      <c r="K93" s="47">
        <f>K72</f>
        <v/>
      </c>
    </row>
    <row r="94">
      <c r="C94" s="43" t="inlineStr">
        <is>
          <t>Precio de indiferencia ($/kg)</t>
        </is>
      </c>
      <c r="G94" s="46">
        <f>G75</f>
        <v/>
      </c>
      <c r="H94" s="46">
        <f>H75</f>
        <v/>
      </c>
      <c r="I94" s="46">
        <f>I75</f>
        <v/>
      </c>
      <c r="J94" s="46">
        <f>J75</f>
        <v/>
      </c>
      <c r="K94" s="46">
        <f>K75</f>
        <v/>
      </c>
    </row>
    <row r="96">
      <c r="C96" s="32" t="inlineStr">
        <is>
          <t>Lectura sugerida: comparar 'Resultado vs. plazo fijo' entre caminos — el que más se aleje en positivo es el que mejor compensa el tiempo y riesgo adicional de esperar. Costos de alimentación de corral/pastura (fila 4) son valores de referencia a completar con el detalle real antes de cerrar el podcast.</t>
        </is>
      </c>
    </row>
    <row r="98">
      <c r="C98" s="48" t="inlineStr">
        <is>
          <t>Referencias de color:</t>
        </is>
      </c>
    </row>
    <row r="99" ht="24" customHeight="1">
      <c r="C99" s="49" t="inlineStr">
        <is>
          <t>Amarillo: Input editable — valores que se cargan/actualizan a mano en cada camino</t>
        </is>
      </c>
    </row>
    <row r="100" ht="24" customHeight="1">
      <c r="C100" s="50" t="inlineStr">
        <is>
          <t>Verde (texto): Link a la hoja Parámetros — se actualiza solo desde ahí</t>
        </is>
      </c>
    </row>
    <row r="103" ht="15" customHeight="1">
      <c r="C103" s="4" t="inlineStr">
        <is>
          <t>12. COSTO DE ALIMENTACIÓN POR KG GANADO (apoyo — completar corriendo la dieta en el archivo '00 Sistemas de Engorde Novillo')</t>
        </is>
      </c>
    </row>
    <row r="104" ht="28.5" customHeight="1">
      <c r="C104" s="23" t="inlineStr">
        <is>
          <t>Costo por kg ganado ($/kg) — según sistema de alimentación de cada camino</t>
        </is>
      </c>
      <c r="G104" s="13" t="n">
        <v>0</v>
      </c>
      <c r="H104" s="13" t="n">
        <v>0</v>
      </c>
      <c r="I104" s="13" t="n">
        <v>2000</v>
      </c>
      <c r="J104" s="13" t="n">
        <v>1000</v>
      </c>
      <c r="K104" s="13" t="n">
        <v>1500</v>
      </c>
    </row>
    <row r="105" ht="64.5" customHeight="1">
      <c r="G105" s="21" t="inlineStr">
        <is>
          <t>No aplica — venta directa sin engorde adicional.</t>
        </is>
      </c>
      <c r="H105" s="21" t="inlineStr">
        <is>
          <t>A cargo del capitalizador, no es costo del dueño.</t>
        </is>
      </c>
      <c r="I105" s="21" t="inlineStr">
        <is>
          <t>Corral liviano ~1,2 kg/d: correr hoja 'Corral de inicio' del archivo viejo con estos parámetros → tomar celda P18 (Costo kg ganado).</t>
        </is>
      </c>
      <c r="J105" s="21" t="inlineStr">
        <is>
          <t>Pastura propia: estimar costo de verdeo/pastura por kg producido (no hay hoja de dieta específica para pastura en el archivo viejo — cargar a mano).</t>
        </is>
      </c>
      <c r="K105" s="21" t="inlineStr">
        <is>
          <t>Recría pastura + 90d corral 1,1 kg/d: combinar costo de pastura (parte 1) + hoja 'Novillito Grano)' o 'Maiz+cp liviano' del archivo viejo para el tramo de corral (parte 2).</t>
        </is>
      </c>
    </row>
  </sheetData>
  <mergeCells count="18">
    <mergeCell ref="C62:K62"/>
    <mergeCell ref="C2:K2"/>
    <mergeCell ref="C47:K47"/>
    <mergeCell ref="C67:K67"/>
    <mergeCell ref="C59:K59"/>
    <mergeCell ref="C103:K103"/>
    <mergeCell ref="C24:K24"/>
    <mergeCell ref="C83:K83"/>
    <mergeCell ref="C42:K42"/>
    <mergeCell ref="C55:K55"/>
    <mergeCell ref="C74:K74"/>
    <mergeCell ref="C40:K40"/>
    <mergeCell ref="C4:E4"/>
    <mergeCell ref="C96:K96"/>
    <mergeCell ref="C53:K53"/>
    <mergeCell ref="C78:K78"/>
    <mergeCell ref="C77:K77"/>
    <mergeCell ref="C34:K34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2026-08-20T19:06:41Z</dcterms:created>
  <dcterms:modified xsi:type="dcterms:W3CDTF">2026-08-21T13:02:25Z</dcterms:modified>
  <cp:lastModifiedBy>Patricia Acetta</cp:lastModifiedBy>
  <cp:revision>0</cp:revision>
</cp:coreProperties>
</file>